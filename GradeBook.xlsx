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<sst xmlns="http://schemas.openxmlformats.org/spreadsheetml/2006/main" count="31" uniqueCount="26">
  <si>
    <t>Safety Test</t>
  </si>
  <si>
    <t>Philosophy Test</t>
  </si>
  <si>
    <t>Skill Test</t>
  </si>
  <si>
    <t>Drag Test</t>
  </si>
  <si>
    <t>Result</t>
  </si>
  <si>
    <t>Posible points</t>
  </si>
  <si>
    <t>First Name</t>
  </si>
  <si>
    <t>Last Name</t>
  </si>
  <si>
    <t>Rod</t>
  </si>
  <si>
    <t>Raw</t>
  </si>
  <si>
    <t>Son</t>
  </si>
  <si>
    <t>Dip</t>
  </si>
  <si>
    <t>Ar</t>
  </si>
  <si>
    <t>Pon</t>
  </si>
  <si>
    <t>Su</t>
  </si>
  <si>
    <t>Mit</t>
  </si>
  <si>
    <t>Ri</t>
  </si>
  <si>
    <t>Mon</t>
  </si>
  <si>
    <t>Vho</t>
  </si>
  <si>
    <t xml:space="preserve"> Na</t>
  </si>
  <si>
    <t>Kib</t>
  </si>
  <si>
    <t>Sou</t>
  </si>
  <si>
    <t>Rov</t>
  </si>
  <si>
    <t>Max</t>
  </si>
  <si>
    <t>Min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</si>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</sst>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textRotation="9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1" numFmtId="10" xfId="0" applyFont="1" applyNumberFormat="1"/>
    <xf borderId="0" fillId="0" fontId="1" numFmtId="0" xfId="0" applyFont="1"/>
  </cellXfs>
  <cellStyles count="1">
    <cellStyle xfId="0" name="Normal" builtinId="0"/>
  </cellStyles>
  <dxfs count="5">
    <dxf>
      <font>
        <color rgb="FF000000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Safety Test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Sheet1!$A$5:$A$12</c:f>
            </c:strRef>
          </c:cat>
          <c:val>
            <c:numRef>
              <c:f>Sheet1!$C$3:$C$12</c:f>
              <c:numCache/>
            </c:numRef>
          </c:val>
        </c:ser>
        <c:overlap val="100"/>
        <c:axId val="489090022"/>
        <c:axId val="1393443000"/>
      </c:barChart>
      <c:catAx>
        <c:axId val="489090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443000"/>
      </c:catAx>
      <c:valAx>
        <c:axId val="1393443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090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666666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533400</xdr:colOff>
      <xdr:row>6</xdr:row>
      <xdr:rowOff>19050</xdr:rowOff>
    </xdr:from>
    <xdr:ext cx="5715000" cy="3895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.38"/>
    <col customWidth="1" min="4" max="4" width="7.5"/>
    <col customWidth="1" min="5" max="5" width="6.25"/>
    <col customWidth="1" min="6" max="7" width="6.75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H1" s="1" t="s">
        <v>0</v>
      </c>
      <c r="I1" s="1" t="s">
        <v>1</v>
      </c>
      <c r="J1" s="1" t="s">
        <v>2</v>
      </c>
      <c r="K1" s="1" t="s">
        <v>3</v>
      </c>
      <c r="M1" s="1" t="s">
        <v>4</v>
      </c>
    </row>
    <row r="3">
      <c r="B3" s="2" t="s">
        <v>5</v>
      </c>
      <c r="C3" s="2">
        <v>10.0</v>
      </c>
      <c r="D3" s="2">
        <v>20.0</v>
      </c>
      <c r="E3" s="2">
        <v>100.0</v>
      </c>
      <c r="F3" s="2">
        <v>1.0</v>
      </c>
    </row>
    <row r="4">
      <c r="A4" s="3" t="s">
        <v>6</v>
      </c>
      <c r="B4" s="3" t="s">
        <v>7</v>
      </c>
      <c r="C4" s="4">
        <v>2.0</v>
      </c>
      <c r="D4" s="2">
        <v>9.0</v>
      </c>
      <c r="E4" s="2">
        <v>100.0</v>
      </c>
      <c r="F4" s="2">
        <v>1.0</v>
      </c>
      <c r="H4" s="5">
        <f t="shared" ref="H4:K4" si="1">C4/C$3</f>
        <v>0.2</v>
      </c>
      <c r="I4" s="5">
        <f t="shared" si="1"/>
        <v>0.45</v>
      </c>
      <c r="J4" s="5">
        <f t="shared" si="1"/>
        <v>1</v>
      </c>
      <c r="K4" s="5">
        <f t="shared" si="1"/>
        <v>1</v>
      </c>
      <c r="M4" s="6" t="b">
        <f t="shared" ref="M4:M12" si="3">OR(H4&lt;50%,I4&lt;50%,J4&lt;50%,K4&lt;50%)</f>
        <v>1</v>
      </c>
    </row>
    <row r="5">
      <c r="A5" s="3" t="s">
        <v>8</v>
      </c>
      <c r="B5" s="3" t="s">
        <v>9</v>
      </c>
      <c r="C5" s="4">
        <v>10.0</v>
      </c>
      <c r="D5" s="2">
        <v>18.0</v>
      </c>
      <c r="E5" s="2">
        <v>89.0</v>
      </c>
      <c r="F5" s="2">
        <v>1.0</v>
      </c>
      <c r="H5" s="5">
        <f t="shared" ref="H5:K5" si="2">C5/C$3</f>
        <v>1</v>
      </c>
      <c r="I5" s="5">
        <f t="shared" si="2"/>
        <v>0.9</v>
      </c>
      <c r="J5" s="5">
        <f t="shared" si="2"/>
        <v>0.89</v>
      </c>
      <c r="K5" s="5">
        <f t="shared" si="2"/>
        <v>1</v>
      </c>
      <c r="M5" s="6" t="b">
        <f t="shared" si="3"/>
        <v>0</v>
      </c>
    </row>
    <row r="6">
      <c r="A6" s="3" t="s">
        <v>10</v>
      </c>
      <c r="B6" s="3" t="s">
        <v>11</v>
      </c>
      <c r="C6" s="4">
        <v>5.0</v>
      </c>
      <c r="D6" s="2">
        <v>16.0</v>
      </c>
      <c r="E6" s="2">
        <v>67.0</v>
      </c>
      <c r="F6" s="2">
        <v>1.0</v>
      </c>
      <c r="H6" s="5">
        <f t="shared" ref="H6:K6" si="4">C6/C$3</f>
        <v>0.5</v>
      </c>
      <c r="I6" s="5">
        <f t="shared" si="4"/>
        <v>0.8</v>
      </c>
      <c r="J6" s="5">
        <f t="shared" si="4"/>
        <v>0.67</v>
      </c>
      <c r="K6" s="5">
        <f t="shared" si="4"/>
        <v>1</v>
      </c>
      <c r="M6" s="6" t="b">
        <f t="shared" si="3"/>
        <v>0</v>
      </c>
    </row>
    <row r="7">
      <c r="A7" s="3" t="s">
        <v>12</v>
      </c>
      <c r="B7" s="3" t="s">
        <v>13</v>
      </c>
      <c r="C7" s="4">
        <v>4.0</v>
      </c>
      <c r="D7" s="2">
        <v>19.0</v>
      </c>
      <c r="E7" s="2">
        <v>78.0</v>
      </c>
      <c r="F7" s="2">
        <v>1.0</v>
      </c>
      <c r="H7" s="5">
        <f t="shared" ref="H7:K7" si="5">C7/C$3</f>
        <v>0.4</v>
      </c>
      <c r="I7" s="5">
        <f t="shared" si="5"/>
        <v>0.95</v>
      </c>
      <c r="J7" s="5">
        <f t="shared" si="5"/>
        <v>0.78</v>
      </c>
      <c r="K7" s="5">
        <f t="shared" si="5"/>
        <v>1</v>
      </c>
      <c r="M7" s="6" t="b">
        <f t="shared" si="3"/>
        <v>1</v>
      </c>
    </row>
    <row r="8">
      <c r="A8" s="3" t="s">
        <v>14</v>
      </c>
      <c r="B8" s="3" t="s">
        <v>15</v>
      </c>
      <c r="C8" s="4">
        <v>9.0</v>
      </c>
      <c r="D8" s="2">
        <v>18.0</v>
      </c>
      <c r="E8" s="2">
        <v>79.0</v>
      </c>
      <c r="F8" s="2">
        <v>0.0</v>
      </c>
      <c r="H8" s="5">
        <f t="shared" ref="H8:K8" si="6">C8/C$3</f>
        <v>0.9</v>
      </c>
      <c r="I8" s="5">
        <f t="shared" si="6"/>
        <v>0.9</v>
      </c>
      <c r="J8" s="5">
        <f t="shared" si="6"/>
        <v>0.79</v>
      </c>
      <c r="K8" s="5">
        <f t="shared" si="6"/>
        <v>0</v>
      </c>
      <c r="M8" s="6" t="b">
        <f t="shared" si="3"/>
        <v>1</v>
      </c>
    </row>
    <row r="9">
      <c r="A9" s="3" t="s">
        <v>16</v>
      </c>
      <c r="B9" s="3" t="s">
        <v>17</v>
      </c>
      <c r="C9" s="4">
        <v>8.0</v>
      </c>
      <c r="D9" s="2">
        <v>11.0</v>
      </c>
      <c r="E9" s="2">
        <v>85.0</v>
      </c>
      <c r="F9" s="2">
        <v>1.0</v>
      </c>
      <c r="H9" s="5">
        <f t="shared" ref="H9:K9" si="7">C9/C$3</f>
        <v>0.8</v>
      </c>
      <c r="I9" s="5">
        <f t="shared" si="7"/>
        <v>0.55</v>
      </c>
      <c r="J9" s="5">
        <f t="shared" si="7"/>
        <v>0.85</v>
      </c>
      <c r="K9" s="5">
        <f t="shared" si="7"/>
        <v>1</v>
      </c>
      <c r="M9" s="6" t="b">
        <f t="shared" si="3"/>
        <v>0</v>
      </c>
    </row>
    <row r="10">
      <c r="A10" s="3" t="s">
        <v>14</v>
      </c>
      <c r="B10" s="3" t="s">
        <v>18</v>
      </c>
      <c r="C10" s="4">
        <v>8.0</v>
      </c>
      <c r="D10" s="4">
        <v>16.0</v>
      </c>
      <c r="E10" s="2">
        <v>56.0</v>
      </c>
      <c r="F10" s="2">
        <v>1.0</v>
      </c>
      <c r="H10" s="5">
        <f t="shared" ref="H10:K10" si="8">C10/C$3</f>
        <v>0.8</v>
      </c>
      <c r="I10" s="5">
        <f t="shared" si="8"/>
        <v>0.8</v>
      </c>
      <c r="J10" s="5">
        <f t="shared" si="8"/>
        <v>0.56</v>
      </c>
      <c r="K10" s="5">
        <f t="shared" si="8"/>
        <v>1</v>
      </c>
      <c r="M10" s="6" t="b">
        <f t="shared" si="3"/>
        <v>0</v>
      </c>
    </row>
    <row r="11">
      <c r="A11" s="3" t="s">
        <v>19</v>
      </c>
      <c r="B11" s="3" t="s">
        <v>20</v>
      </c>
      <c r="C11" s="4">
        <v>6.0</v>
      </c>
      <c r="D11" s="2">
        <v>15.0</v>
      </c>
      <c r="E11" s="2">
        <v>90.0</v>
      </c>
      <c r="F11" s="2">
        <v>0.0</v>
      </c>
      <c r="H11" s="5">
        <f t="shared" ref="H11:K11" si="9">C11/C$3</f>
        <v>0.6</v>
      </c>
      <c r="I11" s="5">
        <f t="shared" si="9"/>
        <v>0.75</v>
      </c>
      <c r="J11" s="5">
        <f t="shared" si="9"/>
        <v>0.9</v>
      </c>
      <c r="K11" s="5">
        <f t="shared" si="9"/>
        <v>0</v>
      </c>
      <c r="M11" s="6" t="b">
        <f t="shared" si="3"/>
        <v>1</v>
      </c>
    </row>
    <row r="12">
      <c r="A12" s="3" t="s">
        <v>21</v>
      </c>
      <c r="B12" s="3" t="s">
        <v>22</v>
      </c>
      <c r="C12" s="4">
        <v>10.0</v>
      </c>
      <c r="D12" s="2">
        <v>20.0</v>
      </c>
      <c r="E12" s="2">
        <v>90.0</v>
      </c>
      <c r="F12" s="2">
        <v>0.0</v>
      </c>
      <c r="H12" s="5">
        <f t="shared" ref="H12:K12" si="10">C12/C$3</f>
        <v>1</v>
      </c>
      <c r="I12" s="5">
        <f t="shared" si="10"/>
        <v>1</v>
      </c>
      <c r="J12" s="5">
        <f t="shared" si="10"/>
        <v>0.9</v>
      </c>
      <c r="K12" s="5">
        <f t="shared" si="10"/>
        <v>0</v>
      </c>
      <c r="M12" s="6" t="b">
        <f t="shared" si="3"/>
        <v>1</v>
      </c>
    </row>
    <row r="13">
      <c r="A13" s="3"/>
      <c r="B13" s="3"/>
    </row>
    <row r="15">
      <c r="A15" s="3" t="s">
        <v>23</v>
      </c>
      <c r="C15" s="6">
        <f t="shared" ref="C15:F15" si="11">MAX(C3:C12)</f>
        <v>10</v>
      </c>
      <c r="D15" s="6">
        <f t="shared" si="11"/>
        <v>20</v>
      </c>
      <c r="E15" s="6">
        <f t="shared" si="11"/>
        <v>100</v>
      </c>
      <c r="F15" s="6">
        <f t="shared" si="11"/>
        <v>1</v>
      </c>
      <c r="H15" s="5">
        <f t="shared" ref="H15:K15" si="12">MAX(H3:H12)</f>
        <v>1</v>
      </c>
      <c r="I15" s="5">
        <f t="shared" si="12"/>
        <v>1</v>
      </c>
      <c r="J15" s="5">
        <f t="shared" si="12"/>
        <v>1</v>
      </c>
      <c r="K15" s="5">
        <f t="shared" si="12"/>
        <v>1</v>
      </c>
    </row>
    <row r="16">
      <c r="A16" s="3" t="s">
        <v>24</v>
      </c>
      <c r="C16" s="6">
        <f t="shared" ref="C16:F16" si="13">MIN(C3:C12)</f>
        <v>2</v>
      </c>
      <c r="D16" s="6">
        <f t="shared" si="13"/>
        <v>9</v>
      </c>
      <c r="E16" s="6">
        <f t="shared" si="13"/>
        <v>56</v>
      </c>
      <c r="F16" s="6">
        <f t="shared" si="13"/>
        <v>0</v>
      </c>
      <c r="H16" s="5">
        <f t="shared" ref="H16:K16" si="14">MIN(H3:H12)</f>
        <v>0.2</v>
      </c>
      <c r="I16" s="5">
        <f t="shared" si="14"/>
        <v>0.45</v>
      </c>
      <c r="J16" s="5">
        <f t="shared" si="14"/>
        <v>0.56</v>
      </c>
      <c r="K16" s="5">
        <f t="shared" si="14"/>
        <v>0</v>
      </c>
    </row>
    <row r="17">
      <c r="A17" s="3" t="s">
        <v>25</v>
      </c>
      <c r="C17" s="6">
        <f t="shared" ref="C17:F17" si="15">AVERAGE(C3:C12)</f>
        <v>7.2</v>
      </c>
      <c r="D17" s="6">
        <f t="shared" si="15"/>
        <v>16.2</v>
      </c>
      <c r="E17" s="6">
        <f t="shared" si="15"/>
        <v>83.4</v>
      </c>
      <c r="F17" s="6">
        <f t="shared" si="15"/>
        <v>0.7</v>
      </c>
      <c r="H17" s="5">
        <f t="shared" ref="H17:K17" si="16">AVERAGE(H3:H12)</f>
        <v>0.6888888889</v>
      </c>
      <c r="I17" s="5">
        <f t="shared" si="16"/>
        <v>0.7888888889</v>
      </c>
      <c r="J17" s="5">
        <f t="shared" si="16"/>
        <v>0.8155555556</v>
      </c>
      <c r="K17" s="5">
        <f t="shared" si="16"/>
        <v>0.6666666667</v>
      </c>
    </row>
  </sheetData>
  <conditionalFormatting sqref="H4:K12">
    <cfRule type="cellIs" dxfId="0" priority="1" operator="lessThan">
      <formula>"55.00%"</formula>
    </cfRule>
  </conditionalFormatting>
  <conditionalFormatting sqref="C3:C12">
    <cfRule type="cellIs" dxfId="1" priority="2" operator="greaterThan">
      <formula>8</formula>
    </cfRule>
  </conditionalFormatting>
  <conditionalFormatting sqref="C3:C12">
    <cfRule type="cellIs" dxfId="2" priority="3" operator="lessThan">
      <formula>6</formula>
    </cfRule>
  </conditionalFormatting>
  <conditionalFormatting sqref="C3:C12">
    <cfRule type="cellIs" dxfId="3" priority="4" operator="lessThanOrEqual">
      <formula>8</formula>
    </cfRule>
  </conditionalFormatting>
  <conditionalFormatting sqref="H4:K12">
    <cfRule type="cellIs" dxfId="1" priority="5" operator="greaterThan">
      <formula>"95%"</formula>
    </cfRule>
  </conditionalFormatting>
  <conditionalFormatting sqref="H4:K12">
    <cfRule type="cellIs" dxfId="4" priority="6" operator="lessThanOrEqual">
      <formula>"95%"</formula>
    </cfRule>
  </conditionalFormatting>
  <drawing r:id="rId1"/>
</worksheet>
</file>