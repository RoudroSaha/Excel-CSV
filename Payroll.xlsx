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<sst xmlns="http://schemas.openxmlformats.org/spreadsheetml/2006/main" count="27" uniqueCount="26">
  <si>
    <t>Worked</t>
  </si>
  <si>
    <t>over Time</t>
  </si>
  <si>
    <t>Pay</t>
  </si>
  <si>
    <t>OverTimeBonus</t>
  </si>
  <si>
    <t>Total</t>
  </si>
  <si>
    <t>First Name</t>
  </si>
  <si>
    <t>Last Name</t>
  </si>
  <si>
    <t xml:space="preserve"> Hourly Wage</t>
  </si>
  <si>
    <t>Rod</t>
  </si>
  <si>
    <t>Raw</t>
  </si>
  <si>
    <t>Son</t>
  </si>
  <si>
    <t>Dip</t>
  </si>
  <si>
    <t>Ar</t>
  </si>
  <si>
    <t>Pon</t>
  </si>
  <si>
    <t>Su</t>
  </si>
  <si>
    <t>Mit</t>
  </si>
  <si>
    <t>Ri</t>
  </si>
  <si>
    <t>Mon</t>
  </si>
  <si>
    <t>Vho</t>
  </si>
  <si>
    <t xml:space="preserve"> Na</t>
  </si>
  <si>
    <t>Kib</t>
  </si>
  <si>
    <t>Sou</t>
  </si>
  <si>
    <t>Rov</t>
  </si>
  <si>
    <t>Max</t>
  </si>
  <si>
    <t>Min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</si>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</sst>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2" fontId="2" numFmtId="164" xfId="0" applyAlignment="1" applyFont="1" applyNumberFormat="1">
      <alignment readingOrder="0"/>
    </xf>
    <xf borderId="0" fillId="2" fontId="2" numFmtId="164" xfId="0" applyFont="1" applyNumberFormat="1"/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4" fontId="1" numFmtId="164" xfId="0" applyAlignment="1" applyFont="1" applyNumberFormat="1">
      <alignment readingOrder="0"/>
    </xf>
    <xf borderId="0" fillId="4" fontId="1" numFmtId="164" xfId="0" applyFont="1" applyNumberFormat="1"/>
    <xf borderId="0" fillId="5" fontId="1" numFmtId="164" xfId="0" applyFont="1" applyNumberFormat="1"/>
    <xf borderId="0" fillId="6" fontId="1" numFmtId="164" xfId="0" applyAlignment="1" applyFont="1" applyNumberFormat="1">
      <alignment readingOrder="0"/>
    </xf>
    <xf borderId="0" fillId="6" fontId="1" numFmtId="164" xfId="0" applyFont="1" applyNumberFormat="1"/>
    <xf borderId="0" fillId="0" fontId="1" numFmtId="165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4" fontId="1" numFmtId="165" xfId="0" applyFont="1" applyNumberFormat="1"/>
    <xf borderId="0" fillId="5" fontId="1" numFmtId="165" xfId="0" applyFont="1" applyNumberFormat="1"/>
    <xf borderId="0" fillId="6" fontId="1" numFmtId="165" xfId="0" applyFont="1" applyNumberFormat="1"/>
    <xf borderId="0" fillId="0" fontId="1" numFmtId="165" xfId="0" applyFont="1" applyNumberFormat="1"/>
    <xf borderId="0" fillId="7" fontId="1" numFmtId="0" xfId="0" applyFill="1" applyFont="1"/>
    <xf borderId="0" fillId="8" fontId="1" numFmtId="165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/>
      <c r="S1" s="1"/>
    </row>
    <row r="2">
      <c r="A2" s="1"/>
      <c r="B2" s="1"/>
      <c r="C2" s="1"/>
      <c r="D2" s="3" t="s">
        <v>0</v>
      </c>
      <c r="E2" s="4"/>
      <c r="F2" s="4"/>
      <c r="G2" s="4"/>
      <c r="H2" s="4"/>
      <c r="I2" s="5" t="s">
        <v>1</v>
      </c>
      <c r="J2" s="6"/>
      <c r="K2" s="6"/>
      <c r="L2" s="6"/>
      <c r="M2" s="6"/>
      <c r="N2" s="7" t="s">
        <v>2</v>
      </c>
      <c r="O2" s="8"/>
      <c r="P2" s="8"/>
      <c r="Q2" s="8"/>
      <c r="R2" s="8"/>
      <c r="S2" s="9" t="s">
        <v>3</v>
      </c>
      <c r="T2" s="10"/>
      <c r="U2" s="10"/>
      <c r="V2" s="10"/>
      <c r="W2" s="10"/>
      <c r="X2" s="11" t="s">
        <v>4</v>
      </c>
      <c r="Y2" s="12"/>
      <c r="Z2" s="12"/>
      <c r="AA2" s="12"/>
      <c r="AB2" s="12"/>
    </row>
    <row r="3">
      <c r="A3" s="1" t="s">
        <v>5</v>
      </c>
      <c r="B3" s="1" t="s">
        <v>6</v>
      </c>
      <c r="C3" s="1" t="s">
        <v>7</v>
      </c>
      <c r="D3" s="13">
        <v>46023.0</v>
      </c>
      <c r="E3" s="14">
        <f t="shared" ref="E3:H3" si="1">D3+7</f>
        <v>46030</v>
      </c>
      <c r="F3" s="14">
        <f t="shared" si="1"/>
        <v>46037</v>
      </c>
      <c r="G3" s="14">
        <f t="shared" si="1"/>
        <v>46044</v>
      </c>
      <c r="H3" s="14">
        <f t="shared" si="1"/>
        <v>46051</v>
      </c>
      <c r="I3" s="15">
        <v>46023.0</v>
      </c>
      <c r="J3" s="16">
        <f t="shared" ref="J3:M3" si="2">I3+7</f>
        <v>46030</v>
      </c>
      <c r="K3" s="16">
        <f t="shared" si="2"/>
        <v>46037</v>
      </c>
      <c r="L3" s="16">
        <f t="shared" si="2"/>
        <v>46044</v>
      </c>
      <c r="M3" s="16">
        <f t="shared" si="2"/>
        <v>46051</v>
      </c>
      <c r="N3" s="17">
        <v>46023.0</v>
      </c>
      <c r="O3" s="18">
        <f t="shared" ref="O3:R3" si="3">N3+7</f>
        <v>46030</v>
      </c>
      <c r="P3" s="18">
        <f t="shared" si="3"/>
        <v>46037</v>
      </c>
      <c r="Q3" s="18">
        <f t="shared" si="3"/>
        <v>46044</v>
      </c>
      <c r="R3" s="18">
        <f t="shared" si="3"/>
        <v>46051</v>
      </c>
      <c r="S3" s="10">
        <v>46023.0</v>
      </c>
      <c r="T3" s="19">
        <f t="shared" ref="T3:W3" si="4">S3+7</f>
        <v>46030</v>
      </c>
      <c r="U3" s="19">
        <f t="shared" si="4"/>
        <v>46037</v>
      </c>
      <c r="V3" s="19">
        <f t="shared" si="4"/>
        <v>46044</v>
      </c>
      <c r="W3" s="19">
        <f t="shared" si="4"/>
        <v>46051</v>
      </c>
      <c r="X3" s="20">
        <v>46023.0</v>
      </c>
      <c r="Y3" s="21">
        <f t="shared" ref="Y3:AB3" si="5">X3+7</f>
        <v>46030</v>
      </c>
      <c r="Z3" s="21">
        <f t="shared" si="5"/>
        <v>46037</v>
      </c>
      <c r="AA3" s="21">
        <f t="shared" si="5"/>
        <v>46044</v>
      </c>
      <c r="AB3" s="21">
        <f t="shared" si="5"/>
        <v>46051</v>
      </c>
    </row>
    <row r="4">
      <c r="A4" s="1" t="s">
        <v>8</v>
      </c>
      <c r="B4" s="1" t="s">
        <v>9</v>
      </c>
      <c r="C4" s="22">
        <v>15.65</v>
      </c>
      <c r="D4" s="23">
        <v>40.0</v>
      </c>
      <c r="E4" s="23">
        <v>23.0</v>
      </c>
      <c r="F4" s="23">
        <v>11.0</v>
      </c>
      <c r="G4" s="23">
        <v>23.0</v>
      </c>
      <c r="H4" s="23">
        <v>34.0</v>
      </c>
      <c r="I4" s="6">
        <f t="shared" ref="I4:M4" si="6">if(D4&gt;40,D4-40,0)</f>
        <v>0</v>
      </c>
      <c r="J4" s="6">
        <f t="shared" si="6"/>
        <v>0</v>
      </c>
      <c r="K4" s="6">
        <f t="shared" si="6"/>
        <v>0</v>
      </c>
      <c r="L4" s="6">
        <f t="shared" si="6"/>
        <v>0</v>
      </c>
      <c r="M4" s="6">
        <f t="shared" si="6"/>
        <v>0</v>
      </c>
      <c r="N4" s="24">
        <f t="shared" ref="N4:R4" si="7">$C4*D4</f>
        <v>626</v>
      </c>
      <c r="O4" s="24">
        <f t="shared" si="7"/>
        <v>359.95</v>
      </c>
      <c r="P4" s="24">
        <f t="shared" si="7"/>
        <v>172.15</v>
      </c>
      <c r="Q4" s="24">
        <f t="shared" si="7"/>
        <v>359.95</v>
      </c>
      <c r="R4" s="24">
        <f t="shared" si="7"/>
        <v>532.1</v>
      </c>
      <c r="S4" s="25">
        <f t="shared" ref="S4:W4" si="8">0.5*$C4*I4</f>
        <v>0</v>
      </c>
      <c r="T4" s="25">
        <f t="shared" si="8"/>
        <v>0</v>
      </c>
      <c r="U4" s="25">
        <f t="shared" si="8"/>
        <v>0</v>
      </c>
      <c r="V4" s="25">
        <f t="shared" si="8"/>
        <v>0</v>
      </c>
      <c r="W4" s="25">
        <f t="shared" si="8"/>
        <v>0</v>
      </c>
      <c r="X4" s="26">
        <f t="shared" ref="X4:AB4" si="9">SUM(N4,S4)</f>
        <v>626</v>
      </c>
      <c r="Y4" s="26">
        <f t="shared" si="9"/>
        <v>359.95</v>
      </c>
      <c r="Z4" s="26">
        <f t="shared" si="9"/>
        <v>172.15</v>
      </c>
      <c r="AA4" s="26">
        <f t="shared" si="9"/>
        <v>359.95</v>
      </c>
      <c r="AB4" s="26">
        <f t="shared" si="9"/>
        <v>532.1</v>
      </c>
    </row>
    <row r="5">
      <c r="A5" s="1" t="s">
        <v>10</v>
      </c>
      <c r="B5" s="1" t="s">
        <v>11</v>
      </c>
      <c r="C5" s="22">
        <v>43.65</v>
      </c>
      <c r="D5" s="23">
        <v>23.0</v>
      </c>
      <c r="E5" s="23">
        <v>34.0</v>
      </c>
      <c r="F5" s="23">
        <v>45.0</v>
      </c>
      <c r="G5" s="23">
        <v>43.0</v>
      </c>
      <c r="H5" s="23">
        <v>45.0</v>
      </c>
      <c r="I5" s="6">
        <f t="shared" ref="I5:M5" si="10">if(D5&gt;40,D5-40,0)</f>
        <v>0</v>
      </c>
      <c r="J5" s="6">
        <f t="shared" si="10"/>
        <v>0</v>
      </c>
      <c r="K5" s="6">
        <f t="shared" si="10"/>
        <v>5</v>
      </c>
      <c r="L5" s="6">
        <f t="shared" si="10"/>
        <v>3</v>
      </c>
      <c r="M5" s="6">
        <f t="shared" si="10"/>
        <v>5</v>
      </c>
      <c r="N5" s="24">
        <f t="shared" ref="N5:R5" si="11">$C5*D5</f>
        <v>1003.95</v>
      </c>
      <c r="O5" s="24">
        <f t="shared" si="11"/>
        <v>1484.1</v>
      </c>
      <c r="P5" s="24">
        <f t="shared" si="11"/>
        <v>1964.25</v>
      </c>
      <c r="Q5" s="24">
        <f t="shared" si="11"/>
        <v>1876.95</v>
      </c>
      <c r="R5" s="24">
        <f t="shared" si="11"/>
        <v>1964.25</v>
      </c>
      <c r="S5" s="25">
        <f t="shared" ref="S5:W5" si="12">0.5*$C5*I5</f>
        <v>0</v>
      </c>
      <c r="T5" s="25">
        <f t="shared" si="12"/>
        <v>0</v>
      </c>
      <c r="U5" s="25">
        <f t="shared" si="12"/>
        <v>109.125</v>
      </c>
      <c r="V5" s="25">
        <f t="shared" si="12"/>
        <v>65.475</v>
      </c>
      <c r="W5" s="25">
        <f t="shared" si="12"/>
        <v>109.125</v>
      </c>
      <c r="X5" s="26">
        <f t="shared" ref="X5:AB5" si="13">SUM(N5,S5)</f>
        <v>1003.95</v>
      </c>
      <c r="Y5" s="26">
        <f t="shared" si="13"/>
        <v>1484.1</v>
      </c>
      <c r="Z5" s="26">
        <f t="shared" si="13"/>
        <v>2073.375</v>
      </c>
      <c r="AA5" s="26">
        <f t="shared" si="13"/>
        <v>1942.425</v>
      </c>
      <c r="AB5" s="26">
        <f t="shared" si="13"/>
        <v>2073.375</v>
      </c>
    </row>
    <row r="6">
      <c r="A6" s="1" t="s">
        <v>12</v>
      </c>
      <c r="B6" s="1" t="s">
        <v>13</v>
      </c>
      <c r="C6" s="22">
        <v>25.65</v>
      </c>
      <c r="D6" s="23">
        <v>43.0</v>
      </c>
      <c r="E6" s="23">
        <v>24.0</v>
      </c>
      <c r="F6" s="23">
        <v>15.0</v>
      </c>
      <c r="G6" s="23">
        <v>53.0</v>
      </c>
      <c r="H6" s="23">
        <v>28.0</v>
      </c>
      <c r="I6" s="6">
        <f t="shared" ref="I6:M6" si="14">if(D6&gt;40,D6-40,0)</f>
        <v>3</v>
      </c>
      <c r="J6" s="6">
        <f t="shared" si="14"/>
        <v>0</v>
      </c>
      <c r="K6" s="6">
        <f t="shared" si="14"/>
        <v>0</v>
      </c>
      <c r="L6" s="6">
        <f t="shared" si="14"/>
        <v>13</v>
      </c>
      <c r="M6" s="6">
        <f t="shared" si="14"/>
        <v>0</v>
      </c>
      <c r="N6" s="24">
        <f t="shared" ref="N6:R6" si="15">$C6*D6</f>
        <v>1102.95</v>
      </c>
      <c r="O6" s="24">
        <f t="shared" si="15"/>
        <v>615.6</v>
      </c>
      <c r="P6" s="24">
        <f t="shared" si="15"/>
        <v>384.75</v>
      </c>
      <c r="Q6" s="24">
        <f t="shared" si="15"/>
        <v>1359.45</v>
      </c>
      <c r="R6" s="24">
        <f t="shared" si="15"/>
        <v>718.2</v>
      </c>
      <c r="S6" s="25">
        <f t="shared" ref="S6:W6" si="16">0.5*$C6*I6</f>
        <v>38.475</v>
      </c>
      <c r="T6" s="25">
        <f t="shared" si="16"/>
        <v>0</v>
      </c>
      <c r="U6" s="25">
        <f t="shared" si="16"/>
        <v>0</v>
      </c>
      <c r="V6" s="25">
        <f t="shared" si="16"/>
        <v>166.725</v>
      </c>
      <c r="W6" s="25">
        <f t="shared" si="16"/>
        <v>0</v>
      </c>
      <c r="X6" s="26">
        <f t="shared" ref="X6:AB6" si="17">SUM(N6,S6)</f>
        <v>1141.425</v>
      </c>
      <c r="Y6" s="26">
        <f t="shared" si="17"/>
        <v>615.6</v>
      </c>
      <c r="Z6" s="26">
        <f t="shared" si="17"/>
        <v>384.75</v>
      </c>
      <c r="AA6" s="26">
        <f t="shared" si="17"/>
        <v>1526.175</v>
      </c>
      <c r="AB6" s="26">
        <f t="shared" si="17"/>
        <v>718.2</v>
      </c>
    </row>
    <row r="7">
      <c r="A7" s="1" t="s">
        <v>14</v>
      </c>
      <c r="B7" s="1" t="s">
        <v>15</v>
      </c>
      <c r="C7" s="22">
        <v>45.24</v>
      </c>
      <c r="D7" s="23">
        <v>12.0</v>
      </c>
      <c r="E7" s="23">
        <v>14.0</v>
      </c>
      <c r="F7" s="23">
        <v>13.0</v>
      </c>
      <c r="G7" s="23">
        <v>23.0</v>
      </c>
      <c r="H7" s="23">
        <v>31.0</v>
      </c>
      <c r="I7" s="6">
        <f t="shared" ref="I7:M7" si="18">if(D7&gt;40,D7-40,0)</f>
        <v>0</v>
      </c>
      <c r="J7" s="6">
        <f t="shared" si="18"/>
        <v>0</v>
      </c>
      <c r="K7" s="6">
        <f t="shared" si="18"/>
        <v>0</v>
      </c>
      <c r="L7" s="6">
        <f t="shared" si="18"/>
        <v>0</v>
      </c>
      <c r="M7" s="6">
        <f t="shared" si="18"/>
        <v>0</v>
      </c>
      <c r="N7" s="24">
        <f t="shared" ref="N7:R7" si="19">$C7*D7</f>
        <v>542.88</v>
      </c>
      <c r="O7" s="24">
        <f t="shared" si="19"/>
        <v>633.36</v>
      </c>
      <c r="P7" s="24">
        <f t="shared" si="19"/>
        <v>588.12</v>
      </c>
      <c r="Q7" s="24">
        <f t="shared" si="19"/>
        <v>1040.52</v>
      </c>
      <c r="R7" s="24">
        <f t="shared" si="19"/>
        <v>1402.44</v>
      </c>
      <c r="S7" s="25">
        <f t="shared" ref="S7:W7" si="20">0.5*$C7*I7</f>
        <v>0</v>
      </c>
      <c r="T7" s="25">
        <f t="shared" si="20"/>
        <v>0</v>
      </c>
      <c r="U7" s="25">
        <f t="shared" si="20"/>
        <v>0</v>
      </c>
      <c r="V7" s="25">
        <f t="shared" si="20"/>
        <v>0</v>
      </c>
      <c r="W7" s="25">
        <f t="shared" si="20"/>
        <v>0</v>
      </c>
      <c r="X7" s="26">
        <f t="shared" ref="X7:AB7" si="21">SUM(N7,S7)</f>
        <v>542.88</v>
      </c>
      <c r="Y7" s="26">
        <f t="shared" si="21"/>
        <v>633.36</v>
      </c>
      <c r="Z7" s="26">
        <f t="shared" si="21"/>
        <v>588.12</v>
      </c>
      <c r="AA7" s="26">
        <f t="shared" si="21"/>
        <v>1040.52</v>
      </c>
      <c r="AB7" s="26">
        <f t="shared" si="21"/>
        <v>1402.44</v>
      </c>
    </row>
    <row r="8">
      <c r="A8" s="1" t="s">
        <v>16</v>
      </c>
      <c r="B8" s="1" t="s">
        <v>17</v>
      </c>
      <c r="C8" s="22">
        <v>13.65</v>
      </c>
      <c r="D8" s="23">
        <v>50.0</v>
      </c>
      <c r="E8" s="23">
        <v>18.0</v>
      </c>
      <c r="F8" s="23">
        <v>27.0</v>
      </c>
      <c r="G8" s="23">
        <v>14.0</v>
      </c>
      <c r="H8" s="23">
        <v>30.0</v>
      </c>
      <c r="I8" s="6">
        <f t="shared" ref="I8:M8" si="22">if(D8&gt;40,D8-40,0)</f>
        <v>10</v>
      </c>
      <c r="J8" s="6">
        <f t="shared" si="22"/>
        <v>0</v>
      </c>
      <c r="K8" s="6">
        <f t="shared" si="22"/>
        <v>0</v>
      </c>
      <c r="L8" s="6">
        <f t="shared" si="22"/>
        <v>0</v>
      </c>
      <c r="M8" s="6">
        <f t="shared" si="22"/>
        <v>0</v>
      </c>
      <c r="N8" s="24">
        <f t="shared" ref="N8:R8" si="23">$C8*D8</f>
        <v>682.5</v>
      </c>
      <c r="O8" s="24">
        <f t="shared" si="23"/>
        <v>245.7</v>
      </c>
      <c r="P8" s="24">
        <f t="shared" si="23"/>
        <v>368.55</v>
      </c>
      <c r="Q8" s="24">
        <f t="shared" si="23"/>
        <v>191.1</v>
      </c>
      <c r="R8" s="24">
        <f t="shared" si="23"/>
        <v>409.5</v>
      </c>
      <c r="S8" s="25">
        <f t="shared" ref="S8:W8" si="24">0.5*$C8*I8</f>
        <v>68.25</v>
      </c>
      <c r="T8" s="25">
        <f t="shared" si="24"/>
        <v>0</v>
      </c>
      <c r="U8" s="25">
        <f t="shared" si="24"/>
        <v>0</v>
      </c>
      <c r="V8" s="25">
        <f t="shared" si="24"/>
        <v>0</v>
      </c>
      <c r="W8" s="25">
        <f t="shared" si="24"/>
        <v>0</v>
      </c>
      <c r="X8" s="26">
        <f t="shared" ref="X8:AB8" si="25">SUM(N8,S8)</f>
        <v>750.75</v>
      </c>
      <c r="Y8" s="26">
        <f t="shared" si="25"/>
        <v>245.7</v>
      </c>
      <c r="Z8" s="26">
        <f t="shared" si="25"/>
        <v>368.55</v>
      </c>
      <c r="AA8" s="26">
        <f t="shared" si="25"/>
        <v>191.1</v>
      </c>
      <c r="AB8" s="26">
        <f t="shared" si="25"/>
        <v>409.5</v>
      </c>
    </row>
    <row r="9">
      <c r="A9" s="1" t="s">
        <v>14</v>
      </c>
      <c r="B9" s="1" t="s">
        <v>18</v>
      </c>
      <c r="C9" s="22">
        <v>23.34</v>
      </c>
      <c r="D9" s="23">
        <v>24.0</v>
      </c>
      <c r="E9" s="23">
        <v>43.0</v>
      </c>
      <c r="F9" s="23">
        <v>38.0</v>
      </c>
      <c r="G9" s="23">
        <v>17.0</v>
      </c>
      <c r="H9" s="23">
        <v>38.0</v>
      </c>
      <c r="I9" s="6">
        <f t="shared" ref="I9:M9" si="26">if(D9&gt;40,D9-40,0)</f>
        <v>0</v>
      </c>
      <c r="J9" s="6">
        <f t="shared" si="26"/>
        <v>3</v>
      </c>
      <c r="K9" s="6">
        <f t="shared" si="26"/>
        <v>0</v>
      </c>
      <c r="L9" s="6">
        <f t="shared" si="26"/>
        <v>0</v>
      </c>
      <c r="M9" s="6">
        <f t="shared" si="26"/>
        <v>0</v>
      </c>
      <c r="N9" s="24">
        <f t="shared" ref="N9:R9" si="27">$C9*D9</f>
        <v>560.16</v>
      </c>
      <c r="O9" s="24">
        <f t="shared" si="27"/>
        <v>1003.62</v>
      </c>
      <c r="P9" s="24">
        <f t="shared" si="27"/>
        <v>886.92</v>
      </c>
      <c r="Q9" s="24">
        <f t="shared" si="27"/>
        <v>396.78</v>
      </c>
      <c r="R9" s="24">
        <f t="shared" si="27"/>
        <v>886.92</v>
      </c>
      <c r="S9" s="25">
        <f t="shared" ref="S9:W9" si="28">0.5*$C9*I9</f>
        <v>0</v>
      </c>
      <c r="T9" s="25">
        <f t="shared" si="28"/>
        <v>35.01</v>
      </c>
      <c r="U9" s="25">
        <f t="shared" si="28"/>
        <v>0</v>
      </c>
      <c r="V9" s="25">
        <f t="shared" si="28"/>
        <v>0</v>
      </c>
      <c r="W9" s="25">
        <f t="shared" si="28"/>
        <v>0</v>
      </c>
      <c r="X9" s="26">
        <f t="shared" ref="X9:AB9" si="29">SUM(N9,S9)</f>
        <v>560.16</v>
      </c>
      <c r="Y9" s="26">
        <f t="shared" si="29"/>
        <v>1038.63</v>
      </c>
      <c r="Z9" s="26">
        <f t="shared" si="29"/>
        <v>886.92</v>
      </c>
      <c r="AA9" s="26">
        <f t="shared" si="29"/>
        <v>396.78</v>
      </c>
      <c r="AB9" s="26">
        <f t="shared" si="29"/>
        <v>886.92</v>
      </c>
    </row>
    <row r="10">
      <c r="A10" s="1" t="s">
        <v>19</v>
      </c>
      <c r="B10" s="1" t="s">
        <v>20</v>
      </c>
      <c r="C10" s="22">
        <v>25.43</v>
      </c>
      <c r="D10" s="23">
        <v>34.0</v>
      </c>
      <c r="E10" s="23">
        <v>27.0</v>
      </c>
      <c r="F10" s="23">
        <v>43.0</v>
      </c>
      <c r="G10" s="23">
        <v>42.0</v>
      </c>
      <c r="H10" s="23">
        <v>37.0</v>
      </c>
      <c r="I10" s="6">
        <f t="shared" ref="I10:M10" si="30">if(D10&gt;40,D10-40,0)</f>
        <v>0</v>
      </c>
      <c r="J10" s="6">
        <f t="shared" si="30"/>
        <v>0</v>
      </c>
      <c r="K10" s="6">
        <f t="shared" si="30"/>
        <v>3</v>
      </c>
      <c r="L10" s="6">
        <f t="shared" si="30"/>
        <v>2</v>
      </c>
      <c r="M10" s="6">
        <f t="shared" si="30"/>
        <v>0</v>
      </c>
      <c r="N10" s="24">
        <f t="shared" ref="N10:R10" si="31">$C10*D10</f>
        <v>864.62</v>
      </c>
      <c r="O10" s="24">
        <f t="shared" si="31"/>
        <v>686.61</v>
      </c>
      <c r="P10" s="24">
        <f t="shared" si="31"/>
        <v>1093.49</v>
      </c>
      <c r="Q10" s="24">
        <f t="shared" si="31"/>
        <v>1068.06</v>
      </c>
      <c r="R10" s="24">
        <f t="shared" si="31"/>
        <v>940.91</v>
      </c>
      <c r="S10" s="25">
        <f t="shared" ref="S10:W10" si="32">0.5*$C10*I10</f>
        <v>0</v>
      </c>
      <c r="T10" s="25">
        <f t="shared" si="32"/>
        <v>0</v>
      </c>
      <c r="U10" s="25">
        <f t="shared" si="32"/>
        <v>38.145</v>
      </c>
      <c r="V10" s="25">
        <f t="shared" si="32"/>
        <v>25.43</v>
      </c>
      <c r="W10" s="25">
        <f t="shared" si="32"/>
        <v>0</v>
      </c>
      <c r="X10" s="26">
        <f t="shared" ref="X10:AB10" si="33">SUM(N10,S10)</f>
        <v>864.62</v>
      </c>
      <c r="Y10" s="26">
        <f t="shared" si="33"/>
        <v>686.61</v>
      </c>
      <c r="Z10" s="26">
        <f t="shared" si="33"/>
        <v>1131.635</v>
      </c>
      <c r="AA10" s="26">
        <f t="shared" si="33"/>
        <v>1093.49</v>
      </c>
      <c r="AB10" s="26">
        <f t="shared" si="33"/>
        <v>940.91</v>
      </c>
    </row>
    <row r="11">
      <c r="A11" s="1" t="s">
        <v>21</v>
      </c>
      <c r="B11" s="1" t="s">
        <v>22</v>
      </c>
      <c r="C11" s="22">
        <v>2754.0</v>
      </c>
      <c r="D11" s="23">
        <v>35.0</v>
      </c>
      <c r="E11" s="23">
        <v>31.0</v>
      </c>
      <c r="F11" s="23">
        <v>34.0</v>
      </c>
      <c r="G11" s="23">
        <v>35.0</v>
      </c>
      <c r="H11" s="23">
        <v>33.0</v>
      </c>
      <c r="I11" s="6">
        <f t="shared" ref="I11:M11" si="34">if(D11&gt;40,D11-40,0)</f>
        <v>0</v>
      </c>
      <c r="J11" s="6">
        <f t="shared" si="34"/>
        <v>0</v>
      </c>
      <c r="K11" s="6">
        <f t="shared" si="34"/>
        <v>0</v>
      </c>
      <c r="L11" s="6">
        <f t="shared" si="34"/>
        <v>0</v>
      </c>
      <c r="M11" s="6">
        <f t="shared" si="34"/>
        <v>0</v>
      </c>
      <c r="N11" s="24">
        <f t="shared" ref="N11:R11" si="35">$C11*D11</f>
        <v>96390</v>
      </c>
      <c r="O11" s="24">
        <f t="shared" si="35"/>
        <v>85374</v>
      </c>
      <c r="P11" s="24">
        <f t="shared" si="35"/>
        <v>93636</v>
      </c>
      <c r="Q11" s="24">
        <f t="shared" si="35"/>
        <v>96390</v>
      </c>
      <c r="R11" s="24">
        <f t="shared" si="35"/>
        <v>90882</v>
      </c>
      <c r="S11" s="25">
        <f t="shared" ref="S11:W11" si="36">0.5*$C11*I11</f>
        <v>0</v>
      </c>
      <c r="T11" s="25">
        <f t="shared" si="36"/>
        <v>0</v>
      </c>
      <c r="U11" s="25">
        <f t="shared" si="36"/>
        <v>0</v>
      </c>
      <c r="V11" s="25">
        <f t="shared" si="36"/>
        <v>0</v>
      </c>
      <c r="W11" s="25">
        <f t="shared" si="36"/>
        <v>0</v>
      </c>
      <c r="X11" s="26">
        <f t="shared" ref="X11:AB11" si="37">SUM(N11,S11)</f>
        <v>96390</v>
      </c>
      <c r="Y11" s="26">
        <f t="shared" si="37"/>
        <v>85374</v>
      </c>
      <c r="Z11" s="26">
        <f t="shared" si="37"/>
        <v>93636</v>
      </c>
      <c r="AA11" s="26">
        <f t="shared" si="37"/>
        <v>96390</v>
      </c>
      <c r="AB11" s="26">
        <f t="shared" si="37"/>
        <v>90882</v>
      </c>
    </row>
    <row r="14">
      <c r="A14" s="1" t="s">
        <v>23</v>
      </c>
      <c r="C14" s="27">
        <f t="shared" ref="C14:AB14" si="38">MAX(C4:C11)</f>
        <v>2754</v>
      </c>
      <c r="D14" s="4">
        <f t="shared" si="38"/>
        <v>50</v>
      </c>
      <c r="E14" s="4">
        <f t="shared" si="38"/>
        <v>43</v>
      </c>
      <c r="F14" s="4">
        <f t="shared" si="38"/>
        <v>45</v>
      </c>
      <c r="G14" s="4">
        <f t="shared" si="38"/>
        <v>53</v>
      </c>
      <c r="H14" s="4">
        <f t="shared" si="38"/>
        <v>45</v>
      </c>
      <c r="I14" s="28">
        <f t="shared" si="38"/>
        <v>10</v>
      </c>
      <c r="J14" s="28">
        <f t="shared" si="38"/>
        <v>3</v>
      </c>
      <c r="K14" s="28">
        <f t="shared" si="38"/>
        <v>5</v>
      </c>
      <c r="L14" s="28">
        <f t="shared" si="38"/>
        <v>13</v>
      </c>
      <c r="M14" s="28">
        <f t="shared" si="38"/>
        <v>5</v>
      </c>
      <c r="N14" s="24">
        <f t="shared" si="38"/>
        <v>96390</v>
      </c>
      <c r="O14" s="24">
        <f t="shared" si="38"/>
        <v>85374</v>
      </c>
      <c r="P14" s="24">
        <f t="shared" si="38"/>
        <v>93636</v>
      </c>
      <c r="Q14" s="24">
        <f t="shared" si="38"/>
        <v>96390</v>
      </c>
      <c r="R14" s="24">
        <f t="shared" si="38"/>
        <v>90882</v>
      </c>
      <c r="S14" s="29">
        <f t="shared" si="38"/>
        <v>68.25</v>
      </c>
      <c r="T14" s="29">
        <f t="shared" si="38"/>
        <v>35.01</v>
      </c>
      <c r="U14" s="29">
        <f t="shared" si="38"/>
        <v>109.125</v>
      </c>
      <c r="V14" s="29">
        <f t="shared" si="38"/>
        <v>166.725</v>
      </c>
      <c r="W14" s="29">
        <f t="shared" si="38"/>
        <v>109.125</v>
      </c>
      <c r="X14" s="26">
        <f t="shared" si="38"/>
        <v>96390</v>
      </c>
      <c r="Y14" s="26">
        <f t="shared" si="38"/>
        <v>85374</v>
      </c>
      <c r="Z14" s="26">
        <f t="shared" si="38"/>
        <v>93636</v>
      </c>
      <c r="AA14" s="26">
        <f t="shared" si="38"/>
        <v>96390</v>
      </c>
      <c r="AB14" s="26">
        <f t="shared" si="38"/>
        <v>90882</v>
      </c>
    </row>
    <row r="15">
      <c r="A15" s="1" t="s">
        <v>24</v>
      </c>
      <c r="C15" s="27">
        <f t="shared" ref="C15:AB15" si="39">MIN(C4:C11)</f>
        <v>13.65</v>
      </c>
      <c r="D15" s="4">
        <f t="shared" si="39"/>
        <v>12</v>
      </c>
      <c r="E15" s="4">
        <f t="shared" si="39"/>
        <v>14</v>
      </c>
      <c r="F15" s="4">
        <f t="shared" si="39"/>
        <v>11</v>
      </c>
      <c r="G15" s="4">
        <f t="shared" si="39"/>
        <v>14</v>
      </c>
      <c r="H15" s="4">
        <f t="shared" si="39"/>
        <v>28</v>
      </c>
      <c r="I15" s="28">
        <f t="shared" si="39"/>
        <v>0</v>
      </c>
      <c r="J15" s="28">
        <f t="shared" si="39"/>
        <v>0</v>
      </c>
      <c r="K15" s="28">
        <f t="shared" si="39"/>
        <v>0</v>
      </c>
      <c r="L15" s="28">
        <f t="shared" si="39"/>
        <v>0</v>
      </c>
      <c r="M15" s="28">
        <f t="shared" si="39"/>
        <v>0</v>
      </c>
      <c r="N15" s="24">
        <f t="shared" si="39"/>
        <v>542.88</v>
      </c>
      <c r="O15" s="24">
        <f t="shared" si="39"/>
        <v>245.7</v>
      </c>
      <c r="P15" s="24">
        <f t="shared" si="39"/>
        <v>172.15</v>
      </c>
      <c r="Q15" s="24">
        <f t="shared" si="39"/>
        <v>191.1</v>
      </c>
      <c r="R15" s="24">
        <f t="shared" si="39"/>
        <v>409.5</v>
      </c>
      <c r="S15" s="29">
        <f t="shared" si="39"/>
        <v>0</v>
      </c>
      <c r="T15" s="29">
        <f t="shared" si="39"/>
        <v>0</v>
      </c>
      <c r="U15" s="29">
        <f t="shared" si="39"/>
        <v>0</v>
      </c>
      <c r="V15" s="29">
        <f t="shared" si="39"/>
        <v>0</v>
      </c>
      <c r="W15" s="29">
        <f t="shared" si="39"/>
        <v>0</v>
      </c>
      <c r="X15" s="26">
        <f t="shared" si="39"/>
        <v>542.88</v>
      </c>
      <c r="Y15" s="26">
        <f t="shared" si="39"/>
        <v>245.7</v>
      </c>
      <c r="Z15" s="26">
        <f t="shared" si="39"/>
        <v>172.15</v>
      </c>
      <c r="AA15" s="26">
        <f t="shared" si="39"/>
        <v>191.1</v>
      </c>
      <c r="AB15" s="26">
        <f t="shared" si="39"/>
        <v>409.5</v>
      </c>
    </row>
    <row r="16">
      <c r="A16" s="1" t="s">
        <v>25</v>
      </c>
      <c r="C16" s="27">
        <f t="shared" ref="C16:AB16" si="40">AVERAGE(C4:C11)</f>
        <v>368.32625</v>
      </c>
      <c r="D16" s="4">
        <f t="shared" si="40"/>
        <v>32.625</v>
      </c>
      <c r="E16" s="4">
        <f t="shared" si="40"/>
        <v>26.75</v>
      </c>
      <c r="F16" s="4">
        <f t="shared" si="40"/>
        <v>28.25</v>
      </c>
      <c r="G16" s="4">
        <f t="shared" si="40"/>
        <v>31.25</v>
      </c>
      <c r="H16" s="4">
        <f t="shared" si="40"/>
        <v>34.5</v>
      </c>
      <c r="I16" s="28">
        <f t="shared" si="40"/>
        <v>1.625</v>
      </c>
      <c r="J16" s="28">
        <f t="shared" si="40"/>
        <v>0.375</v>
      </c>
      <c r="K16" s="28">
        <f t="shared" si="40"/>
        <v>1</v>
      </c>
      <c r="L16" s="28">
        <f t="shared" si="40"/>
        <v>2.25</v>
      </c>
      <c r="M16" s="28">
        <f t="shared" si="40"/>
        <v>0.625</v>
      </c>
      <c r="N16" s="24">
        <f t="shared" si="40"/>
        <v>12721.6325</v>
      </c>
      <c r="O16" s="24">
        <f t="shared" si="40"/>
        <v>11300.3675</v>
      </c>
      <c r="P16" s="24">
        <f t="shared" si="40"/>
        <v>12386.77875</v>
      </c>
      <c r="Q16" s="24">
        <f t="shared" si="40"/>
        <v>12835.35125</v>
      </c>
      <c r="R16" s="24">
        <f t="shared" si="40"/>
        <v>12217.04</v>
      </c>
      <c r="S16" s="29">
        <f t="shared" si="40"/>
        <v>13.340625</v>
      </c>
      <c r="T16" s="29">
        <f t="shared" si="40"/>
        <v>4.37625</v>
      </c>
      <c r="U16" s="29">
        <f t="shared" si="40"/>
        <v>18.40875</v>
      </c>
      <c r="V16" s="29">
        <f t="shared" si="40"/>
        <v>32.20375</v>
      </c>
      <c r="W16" s="29">
        <f t="shared" si="40"/>
        <v>13.640625</v>
      </c>
      <c r="X16" s="26">
        <f t="shared" si="40"/>
        <v>12734.97313</v>
      </c>
      <c r="Y16" s="26">
        <f t="shared" si="40"/>
        <v>11304.74375</v>
      </c>
      <c r="Z16" s="26">
        <f t="shared" si="40"/>
        <v>12405.1875</v>
      </c>
      <c r="AA16" s="26">
        <f t="shared" si="40"/>
        <v>12867.555</v>
      </c>
      <c r="AB16" s="26">
        <f t="shared" si="40"/>
        <v>12230.68063</v>
      </c>
    </row>
  </sheetData>
  <drawing r:id="rId1"/>
</worksheet>
</file>