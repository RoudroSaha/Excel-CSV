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<sst xmlns="http://schemas.openxmlformats.org/spreadsheetml/2006/main" count="872" uniqueCount="52">
  <si>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</si>
  <si>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</si>
  <si>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</si>
  <si>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</si>
  <si>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</si>
  <si>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</si>
  <si>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</si>
  <si>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Commision 10%</t>
  </si>
  <si>
    <t>First Name</t>
  </si>
  <si>
    <t>Last Name</t>
  </si>
  <si>
    <t>Sale Location</t>
  </si>
  <si>
    <t>Jan</t>
  </si>
  <si>
    <t>Pool Cover</t>
  </si>
  <si>
    <t>Chalie</t>
  </si>
  <si>
    <t>Barns</t>
  </si>
  <si>
    <t>NM</t>
  </si>
  <si>
    <t>Net</t>
  </si>
  <si>
    <t>Juan</t>
  </si>
  <si>
    <t>Hernandez</t>
  </si>
  <si>
    <t>CA</t>
  </si>
  <si>
    <t>8 ft Hose</t>
  </si>
  <si>
    <t>Doug</t>
  </si>
  <si>
    <t>Smith</t>
  </si>
  <si>
    <t>AZ</t>
  </si>
  <si>
    <t>Water Pump</t>
  </si>
  <si>
    <t>Chlorine Test Kit</t>
  </si>
  <si>
    <t>Hellen</t>
  </si>
  <si>
    <t>Johnson</t>
  </si>
  <si>
    <t>CO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</si>
  <si>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</si>
  <si>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</si>
  <si>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</si>
  <si>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</si>
  <si>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</si>
  <si>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</si>
  <si>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</si>
  <si>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</si>
  <si>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</si>
  <si>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</si>
  <si>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</si>
  <si>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</si>
  <si>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</si>
  <si>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</si>
  <si>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</si>
  <si>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</si>
  <si>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</si>
  <si>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</si>
  <si>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sum</t>
  </si>
  <si>
    <t>sum of greater 50</t>
  </si>
  <si>
    <t>sum of less or equal 50</t>
  </si>
  <si>
    <t>Grand Total</t>
  </si>
  <si>
    <t>SUM of Commision 10%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</si>
</sst>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textRotation="0" wrapText="1"/>
    </xf>
    <xf borderId="0" fillId="0" fontId="1" numFmtId="0" xfId="0" applyAlignment="1" applyFont="1">
      <alignment readingOrder="0" shrinkToFit="0" textRotation="0" wrapText="1"/>
    </xf>
    <xf borderId="0" fillId="0" fontId="2" numFmtId="14" xfId="0" applyFont="1" applyNumberFormat="1"/>
    <xf borderId="0" fillId="0" fontId="2" numFmtId="164" xfId="0" applyFont="1" applyNumberFormat="1"/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72" sheet="Sheet1"/>
  </cacheSource>
  <cacheFields>
    <cacheField name="Month" numFmtId="14">
      <sharedItems>
        <s v="Jan"/>
        <s v="Feb"/>
        <s v="Mar"/>
        <s v="April"/>
        <s v="May"/>
        <s v="June"/>
        <s v="July"/>
        <s v="Aug"/>
        <s v="Sept"/>
        <s v="Oct"/>
        <s v="Nov"/>
        <s v="Dec"/>
      </sharedItems>
    </cacheField>
    <cacheField name="Transaction Number" numFmtId="164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</sharedItems>
    </cacheField>
    <cacheField name="Product Code" numFmtId="0">
      <sharedItems containsSemiMixedTypes="0" containsString="0" containsNumber="1" containsInteger="1">
        <n v="9822.0"/>
        <n v="2877.0"/>
        <n v="2499.0"/>
        <n v="8722.0"/>
        <n v="1109.0"/>
        <n v="4421.0"/>
        <n v="9212.0"/>
        <n v="2242.0"/>
        <n v="6119.0"/>
        <n v="6622.0"/>
      </sharedItems>
    </cacheField>
    <cacheField name="Product Description" numFmtId="0">
      <sharedItems>
        <s v="Pool Cover"/>
        <s v="Net"/>
        <s v="8 ft Hose"/>
        <s v="Water Pump"/>
        <s v="Chlorine Test Kit"/>
        <s v="Skimmer"/>
        <s v="1 Gal Muratic Acid"/>
        <s v="AutoVac"/>
        <s v="Algea Killer 8 oz"/>
        <s v="5 Gal Chlorine"/>
      </sharedItems>
    </cacheField>
    <cacheField name="Store Cost" numFmtId="0">
      <sharedItems containsSemiMixedTypes="0" containsString="0" containsNumber="1">
        <n v="58.3"/>
        <n v="11.4"/>
        <n v="6.2"/>
        <n v="344.0"/>
        <n v="3.0"/>
        <n v="45.0"/>
        <n v="4.0"/>
        <n v="60.0"/>
        <n v="9.0"/>
        <n v="42.0"/>
      </sharedItems>
    </cacheField>
    <cacheField name="Sale Price" numFmtId="0">
      <sharedItems containsSemiMixedTypes="0" containsString="0" containsNumber="1">
        <n v="98.4"/>
        <n v="16.3"/>
        <n v="9.2"/>
        <n v="502.0"/>
        <n v="8.0"/>
        <n v="87.0"/>
        <n v="7.0"/>
        <n v="124.0"/>
        <n v="14.0"/>
        <n v="77.0"/>
      </sharedItems>
    </cacheField>
    <cacheField name="Profit" numFmtId="0">
      <sharedItems containsSemiMixedTypes="0" containsString="0" containsNumber="1">
        <n v="40.10000000000001"/>
        <n v="4.9"/>
        <n v="2.999999999999999"/>
        <n v="158.0"/>
        <n v="5.0"/>
        <n v="42.0"/>
        <n v="3.0"/>
        <n v="64.0"/>
        <n v="35.0"/>
      </sharedItems>
    </cacheField>
    <cacheField name="Commision 10%" numFmtId="0">
      <sharedItems containsSemiMixedTypes="0" containsString="0" containsNumber="1">
        <n v="8.020000000000001"/>
        <n v="1.6300000000000001"/>
        <n v="0.9199999999999999"/>
        <n v="31.6"/>
        <n v="0.8"/>
        <n v="8.4"/>
        <n v="0.7000000000000001"/>
        <n v="12.8"/>
        <n v="1.4000000000000001"/>
        <n v="7.0"/>
      </sharedItems>
    </cacheField>
    <cacheField name="First Name" numFmtId="0">
      <sharedItems>
        <s v="Chalie"/>
        <s v="Juan"/>
        <s v="Doug"/>
        <s v="Hellen"/>
      </sharedItems>
    </cacheField>
    <cacheField name="Last Name" numFmtId="0">
      <sharedItems>
        <s v="Barns"/>
        <s v="Hernandez"/>
        <s v="Smith"/>
        <s v="Johnson"/>
      </sharedItems>
    </cacheField>
    <cacheField name="Sale Location" numFmtId="0">
      <sharedItems>
        <s v="NM"/>
        <s v="CA"/>
        <s v="AZ"/>
        <s v="CO"/>
        <s v="NV"/>
        <s v="U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L3" firstHeaderRow="0" firstDataRow="0" firstDataCol="1"/>
  <pivotFields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ansaction Numb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Produc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ore Cost" axis="axisCol" compact="0" outline="0" multipleItemSelectionAllowed="1" showAll="0" sortType="ascending">
      <items>
        <item x="4"/>
        <item x="6"/>
        <item x="2"/>
        <item x="8"/>
        <item x="1"/>
        <item x="9"/>
        <item x="5"/>
        <item x="0"/>
        <item x="7"/>
        <item x="3"/>
        <item t="default"/>
      </items>
    </pivotField>
    <pivotField name="Sale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mmision 10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t="default"/>
      </items>
    </pivotField>
    <pivotField name="Sale Loc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colFields>
    <field x="4"/>
  </colFields>
  <dataFields>
    <dataField name="SUM of Commision 10%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5.56"/>
    <col customWidth="1" min="3" max="3" width="11.0"/>
    <col customWidth="1" min="4" max="4" width="18.33"/>
    <col customWidth="1" min="5" max="7" width="11.0"/>
    <col customWidth="1" min="8" max="8" width="13.78"/>
    <col customWidth="1" min="9" max="27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>
      <c r="A2" s="3" t="s">
        <v>11</v>
      </c>
      <c r="B2" s="4">
        <v>1001.0</v>
      </c>
      <c r="C2" s="5">
        <v>9822.0</v>
      </c>
      <c r="D2" s="5" t="s">
        <v>12</v>
      </c>
      <c r="E2" s="5">
        <v>58.3</v>
      </c>
      <c r="F2" s="5">
        <v>98.4</v>
      </c>
      <c r="G2" s="5">
        <f t="shared" ref="G2:G172" si="1">F2-E2</f>
        <v>40.1</v>
      </c>
      <c r="H2" s="5">
        <f t="shared" ref="H2:H172" si="2">if(F2&gt;50,G2*0.2,F2*0.1)</f>
        <v>8.02</v>
      </c>
      <c r="I2" s="6" t="s">
        <v>13</v>
      </c>
      <c r="J2" s="6" t="s">
        <v>14</v>
      </c>
      <c r="K2" s="5" t="s">
        <v>15</v>
      </c>
    </row>
    <row r="3">
      <c r="A3" s="3" t="s">
        <v>11</v>
      </c>
      <c r="B3" s="4">
        <v>1002.0</v>
      </c>
      <c r="C3" s="5">
        <v>2877.0</v>
      </c>
      <c r="D3" s="5" t="s">
        <v>16</v>
      </c>
      <c r="E3" s="5">
        <v>11.4</v>
      </c>
      <c r="F3" s="5">
        <v>16.3</v>
      </c>
      <c r="G3" s="5">
        <f t="shared" si="1"/>
        <v>4.9</v>
      </c>
      <c r="H3" s="5">
        <f t="shared" si="2"/>
        <v>1.63</v>
      </c>
      <c r="I3" s="6" t="s">
        <v>17</v>
      </c>
      <c r="J3" s="6" t="s">
        <v>18</v>
      </c>
      <c r="K3" s="5" t="s">
        <v>19</v>
      </c>
    </row>
    <row r="4">
      <c r="A4" s="3" t="s">
        <v>11</v>
      </c>
      <c r="B4" s="4">
        <v>1003.0</v>
      </c>
      <c r="C4" s="5">
        <v>2499.0</v>
      </c>
      <c r="D4" s="5" t="s">
        <v>20</v>
      </c>
      <c r="E4" s="5">
        <v>6.2</v>
      </c>
      <c r="F4" s="5">
        <v>9.2</v>
      </c>
      <c r="G4" s="5">
        <f t="shared" si="1"/>
        <v>3</v>
      </c>
      <c r="H4" s="5">
        <f t="shared" si="2"/>
        <v>0.92</v>
      </c>
      <c r="I4" s="6" t="s">
        <v>21</v>
      </c>
      <c r="J4" s="6" t="s">
        <v>22</v>
      </c>
      <c r="K4" s="5" t="s">
        <v>23</v>
      </c>
    </row>
    <row r="5">
      <c r="A5" s="3" t="s">
        <v>11</v>
      </c>
      <c r="B5" s="4">
        <v>1004.0</v>
      </c>
      <c r="C5" s="5">
        <v>8722.0</v>
      </c>
      <c r="D5" s="5" t="s">
        <v>24</v>
      </c>
      <c r="E5" s="5">
        <v>344.0</v>
      </c>
      <c r="F5" s="5">
        <v>502.0</v>
      </c>
      <c r="G5" s="5">
        <f t="shared" si="1"/>
        <v>158</v>
      </c>
      <c r="H5" s="5">
        <f t="shared" si="2"/>
        <v>31.6</v>
      </c>
      <c r="I5" s="6" t="s">
        <v>13</v>
      </c>
      <c r="J5" s="6" t="s">
        <v>14</v>
      </c>
      <c r="K5" s="5" t="s">
        <v>23</v>
      </c>
    </row>
    <row r="6">
      <c r="A6" s="3" t="s">
        <v>11</v>
      </c>
      <c r="B6" s="4">
        <v>1005.0</v>
      </c>
      <c r="C6" s="5">
        <v>1109.0</v>
      </c>
      <c r="D6" s="5" t="s">
        <v>25</v>
      </c>
      <c r="E6" s="5">
        <v>3.0</v>
      </c>
      <c r="F6" s="5">
        <v>8.0</v>
      </c>
      <c r="G6" s="5">
        <f t="shared" si="1"/>
        <v>5</v>
      </c>
      <c r="H6" s="5">
        <f t="shared" si="2"/>
        <v>0.8</v>
      </c>
      <c r="I6" s="6" t="s">
        <v>21</v>
      </c>
      <c r="J6" s="6" t="s">
        <v>22</v>
      </c>
      <c r="K6" s="5" t="s">
        <v>23</v>
      </c>
    </row>
    <row r="7">
      <c r="A7" s="3" t="s">
        <v>11</v>
      </c>
      <c r="B7" s="4">
        <v>1006.0</v>
      </c>
      <c r="C7" s="5">
        <v>9822.0</v>
      </c>
      <c r="D7" s="5" t="s">
        <v>12</v>
      </c>
      <c r="E7" s="5">
        <v>58.3</v>
      </c>
      <c r="F7" s="5">
        <v>98.4</v>
      </c>
      <c r="G7" s="5">
        <f t="shared" si="1"/>
        <v>40.1</v>
      </c>
      <c r="H7" s="5">
        <f t="shared" si="2"/>
        <v>8.02</v>
      </c>
      <c r="I7" s="6" t="s">
        <v>21</v>
      </c>
      <c r="J7" s="6" t="s">
        <v>22</v>
      </c>
      <c r="K7" s="5" t="s">
        <v>23</v>
      </c>
    </row>
    <row r="8">
      <c r="A8" s="3" t="s">
        <v>11</v>
      </c>
      <c r="B8" s="4">
        <v>1007.0</v>
      </c>
      <c r="C8" s="5">
        <v>1109.0</v>
      </c>
      <c r="D8" s="5" t="s">
        <v>25</v>
      </c>
      <c r="E8" s="5">
        <v>3.0</v>
      </c>
      <c r="F8" s="5">
        <v>8.0</v>
      </c>
      <c r="G8" s="5">
        <f t="shared" si="1"/>
        <v>5</v>
      </c>
      <c r="H8" s="5">
        <f t="shared" si="2"/>
        <v>0.8</v>
      </c>
      <c r="I8" s="6" t="s">
        <v>26</v>
      </c>
      <c r="J8" s="6" t="s">
        <v>27</v>
      </c>
      <c r="K8" s="5" t="s">
        <v>15</v>
      </c>
    </row>
    <row r="9">
      <c r="A9" s="3" t="s">
        <v>11</v>
      </c>
      <c r="B9" s="4">
        <v>1008.0</v>
      </c>
      <c r="C9" s="5">
        <v>2877.0</v>
      </c>
      <c r="D9" s="5" t="s">
        <v>16</v>
      </c>
      <c r="E9" s="5">
        <v>11.4</v>
      </c>
      <c r="F9" s="5">
        <v>16.3</v>
      </c>
      <c r="G9" s="5">
        <f t="shared" si="1"/>
        <v>4.9</v>
      </c>
      <c r="H9" s="5">
        <f t="shared" si="2"/>
        <v>1.63</v>
      </c>
      <c r="I9" s="6" t="s">
        <v>21</v>
      </c>
      <c r="J9" s="6" t="s">
        <v>22</v>
      </c>
      <c r="K9" s="5" t="s">
        <v>15</v>
      </c>
    </row>
    <row r="10">
      <c r="A10" s="3" t="s">
        <v>11</v>
      </c>
      <c r="B10" s="4">
        <v>1009.0</v>
      </c>
      <c r="C10" s="5">
        <v>1109.0</v>
      </c>
      <c r="D10" s="5" t="s">
        <v>25</v>
      </c>
      <c r="E10" s="5">
        <v>3.0</v>
      </c>
      <c r="F10" s="5">
        <v>8.0</v>
      </c>
      <c r="G10" s="5">
        <f t="shared" si="1"/>
        <v>5</v>
      </c>
      <c r="H10" s="5">
        <f t="shared" si="2"/>
        <v>0.8</v>
      </c>
      <c r="I10" s="6" t="s">
        <v>21</v>
      </c>
      <c r="J10" s="6" t="s">
        <v>22</v>
      </c>
      <c r="K10" s="5" t="s">
        <v>23</v>
      </c>
    </row>
    <row r="11">
      <c r="A11" s="3" t="s">
        <v>11</v>
      </c>
      <c r="B11" s="4">
        <v>1010.0</v>
      </c>
      <c r="C11" s="5">
        <v>2877.0</v>
      </c>
      <c r="D11" s="5" t="s">
        <v>16</v>
      </c>
      <c r="E11" s="5">
        <v>11.4</v>
      </c>
      <c r="F11" s="5">
        <v>16.3</v>
      </c>
      <c r="G11" s="5">
        <f t="shared" si="1"/>
        <v>4.9</v>
      </c>
      <c r="H11" s="5">
        <f t="shared" si="2"/>
        <v>1.63</v>
      </c>
      <c r="I11" s="6" t="s">
        <v>17</v>
      </c>
      <c r="J11" s="6" t="s">
        <v>18</v>
      </c>
      <c r="K11" s="5" t="s">
        <v>28</v>
      </c>
    </row>
    <row r="12">
      <c r="A12" s="3" t="s">
        <v>11</v>
      </c>
      <c r="B12" s="4">
        <v>1011.0</v>
      </c>
      <c r="C12" s="5">
        <v>2877.0</v>
      </c>
      <c r="D12" s="5" t="s">
        <v>16</v>
      </c>
      <c r="E12" s="5">
        <v>11.4</v>
      </c>
      <c r="F12" s="5">
        <v>16.3</v>
      </c>
      <c r="G12" s="5">
        <f t="shared" si="1"/>
        <v>4.9</v>
      </c>
      <c r="H12" s="5">
        <f t="shared" si="2"/>
        <v>1.63</v>
      </c>
      <c r="I12" s="6" t="s">
        <v>17</v>
      </c>
      <c r="J12" s="6" t="s">
        <v>18</v>
      </c>
      <c r="K12" s="5" t="s">
        <v>23</v>
      </c>
    </row>
    <row r="13">
      <c r="A13" s="3" t="s">
        <v>11</v>
      </c>
      <c r="B13" s="4">
        <v>1012.0</v>
      </c>
      <c r="C13" s="5">
        <v>4421.0</v>
      </c>
      <c r="D13" s="5" t="s">
        <v>29</v>
      </c>
      <c r="E13" s="5">
        <v>45.0</v>
      </c>
      <c r="F13" s="5">
        <v>87.0</v>
      </c>
      <c r="G13" s="5">
        <f t="shared" si="1"/>
        <v>42</v>
      </c>
      <c r="H13" s="5">
        <f t="shared" si="2"/>
        <v>8.4</v>
      </c>
      <c r="I13" s="6" t="s">
        <v>21</v>
      </c>
      <c r="J13" s="6" t="s">
        <v>22</v>
      </c>
      <c r="K13" s="5" t="s">
        <v>15</v>
      </c>
    </row>
    <row r="14">
      <c r="A14" s="3" t="s">
        <v>11</v>
      </c>
      <c r="B14" s="4">
        <v>1013.0</v>
      </c>
      <c r="C14" s="5">
        <v>9212.0</v>
      </c>
      <c r="D14" s="5" t="s">
        <v>30</v>
      </c>
      <c r="E14" s="5">
        <v>4.0</v>
      </c>
      <c r="F14" s="5">
        <v>7.0</v>
      </c>
      <c r="G14" s="5">
        <f t="shared" si="1"/>
        <v>3</v>
      </c>
      <c r="H14" s="5">
        <f t="shared" si="2"/>
        <v>0.7</v>
      </c>
      <c r="I14" s="6" t="s">
        <v>26</v>
      </c>
      <c r="J14" s="6" t="s">
        <v>27</v>
      </c>
      <c r="K14" s="5" t="s">
        <v>28</v>
      </c>
    </row>
    <row r="15">
      <c r="A15" s="3" t="s">
        <v>11</v>
      </c>
      <c r="B15" s="4">
        <v>1014.0</v>
      </c>
      <c r="C15" s="5">
        <v>8722.0</v>
      </c>
      <c r="D15" s="5" t="s">
        <v>24</v>
      </c>
      <c r="E15" s="5">
        <v>344.0</v>
      </c>
      <c r="F15" s="5">
        <v>502.0</v>
      </c>
      <c r="G15" s="5">
        <f t="shared" si="1"/>
        <v>158</v>
      </c>
      <c r="H15" s="5">
        <f t="shared" si="2"/>
        <v>31.6</v>
      </c>
      <c r="I15" s="6" t="s">
        <v>13</v>
      </c>
      <c r="J15" s="6" t="s">
        <v>14</v>
      </c>
      <c r="K15" s="5" t="s">
        <v>19</v>
      </c>
    </row>
    <row r="16">
      <c r="A16" s="3" t="s">
        <v>11</v>
      </c>
      <c r="B16" s="4">
        <v>1015.0</v>
      </c>
      <c r="C16" s="5">
        <v>2877.0</v>
      </c>
      <c r="D16" s="5" t="s">
        <v>16</v>
      </c>
      <c r="E16" s="5">
        <v>11.4</v>
      </c>
      <c r="F16" s="5">
        <v>16.3</v>
      </c>
      <c r="G16" s="5">
        <f t="shared" si="1"/>
        <v>4.9</v>
      </c>
      <c r="H16" s="5">
        <f t="shared" si="2"/>
        <v>1.63</v>
      </c>
      <c r="I16" s="6" t="s">
        <v>26</v>
      </c>
      <c r="J16" s="6" t="s">
        <v>27</v>
      </c>
      <c r="K16" s="5" t="s">
        <v>23</v>
      </c>
    </row>
    <row r="17">
      <c r="A17" s="3" t="s">
        <v>11</v>
      </c>
      <c r="B17" s="4">
        <v>1016.0</v>
      </c>
      <c r="C17" s="5">
        <v>2499.0</v>
      </c>
      <c r="D17" s="5" t="s">
        <v>20</v>
      </c>
      <c r="E17" s="5">
        <v>6.2</v>
      </c>
      <c r="F17" s="5">
        <v>9.2</v>
      </c>
      <c r="G17" s="5">
        <f t="shared" si="1"/>
        <v>3</v>
      </c>
      <c r="H17" s="5">
        <f t="shared" si="2"/>
        <v>0.92</v>
      </c>
      <c r="I17" s="6" t="s">
        <v>21</v>
      </c>
      <c r="J17" s="6" t="s">
        <v>22</v>
      </c>
      <c r="K17" s="5" t="s">
        <v>19</v>
      </c>
    </row>
    <row r="18">
      <c r="A18" s="3" t="s">
        <v>31</v>
      </c>
      <c r="B18" s="4">
        <v>1017.0</v>
      </c>
      <c r="C18" s="5">
        <v>2242.0</v>
      </c>
      <c r="D18" s="5" t="s">
        <v>32</v>
      </c>
      <c r="E18" s="5">
        <v>60.0</v>
      </c>
      <c r="F18" s="5">
        <v>124.0</v>
      </c>
      <c r="G18" s="5">
        <f t="shared" si="1"/>
        <v>64</v>
      </c>
      <c r="H18" s="5">
        <f t="shared" si="2"/>
        <v>12.8</v>
      </c>
      <c r="I18" s="6" t="s">
        <v>17</v>
      </c>
      <c r="J18" s="6" t="s">
        <v>18</v>
      </c>
      <c r="K18" s="5" t="s">
        <v>15</v>
      </c>
    </row>
    <row r="19">
      <c r="A19" s="3" t="s">
        <v>31</v>
      </c>
      <c r="B19" s="4">
        <v>1018.0</v>
      </c>
      <c r="C19" s="5">
        <v>1109.0</v>
      </c>
      <c r="D19" s="5" t="s">
        <v>25</v>
      </c>
      <c r="E19" s="5">
        <v>3.0</v>
      </c>
      <c r="F19" s="5">
        <v>8.0</v>
      </c>
      <c r="G19" s="5">
        <f t="shared" si="1"/>
        <v>5</v>
      </c>
      <c r="H19" s="5">
        <f t="shared" si="2"/>
        <v>0.8</v>
      </c>
      <c r="I19" s="6" t="s">
        <v>21</v>
      </c>
      <c r="J19" s="6" t="s">
        <v>22</v>
      </c>
      <c r="K19" s="5" t="s">
        <v>19</v>
      </c>
    </row>
    <row r="20">
      <c r="A20" s="3" t="s">
        <v>31</v>
      </c>
      <c r="B20" s="4">
        <v>1019.0</v>
      </c>
      <c r="C20" s="5">
        <v>2499.0</v>
      </c>
      <c r="D20" s="5" t="s">
        <v>20</v>
      </c>
      <c r="E20" s="5">
        <v>6.2</v>
      </c>
      <c r="F20" s="5">
        <v>9.2</v>
      </c>
      <c r="G20" s="5">
        <f t="shared" si="1"/>
        <v>3</v>
      </c>
      <c r="H20" s="5">
        <f t="shared" si="2"/>
        <v>0.92</v>
      </c>
      <c r="I20" s="6" t="s">
        <v>21</v>
      </c>
      <c r="J20" s="6" t="s">
        <v>22</v>
      </c>
      <c r="K20" s="5" t="s">
        <v>28</v>
      </c>
    </row>
    <row r="21" ht="15.75" customHeight="1">
      <c r="A21" s="3" t="s">
        <v>31</v>
      </c>
      <c r="B21" s="4">
        <v>1020.0</v>
      </c>
      <c r="C21" s="5">
        <v>2499.0</v>
      </c>
      <c r="D21" s="5" t="s">
        <v>20</v>
      </c>
      <c r="E21" s="5">
        <v>6.2</v>
      </c>
      <c r="F21" s="5">
        <v>9.2</v>
      </c>
      <c r="G21" s="5">
        <f t="shared" si="1"/>
        <v>3</v>
      </c>
      <c r="H21" s="5">
        <f t="shared" si="2"/>
        <v>0.92</v>
      </c>
      <c r="I21" s="6" t="s">
        <v>21</v>
      </c>
      <c r="J21" s="6" t="s">
        <v>22</v>
      </c>
      <c r="K21" s="5" t="s">
        <v>33</v>
      </c>
    </row>
    <row r="22" ht="15.75" customHeight="1">
      <c r="A22" s="3" t="s">
        <v>31</v>
      </c>
      <c r="B22" s="4">
        <v>1021.0</v>
      </c>
      <c r="C22" s="5">
        <v>1109.0</v>
      </c>
      <c r="D22" s="5" t="s">
        <v>25</v>
      </c>
      <c r="E22" s="5">
        <v>3.0</v>
      </c>
      <c r="F22" s="5">
        <v>8.0</v>
      </c>
      <c r="G22" s="5">
        <f t="shared" si="1"/>
        <v>5</v>
      </c>
      <c r="H22" s="5">
        <f t="shared" si="2"/>
        <v>0.8</v>
      </c>
      <c r="I22" s="6" t="s">
        <v>17</v>
      </c>
      <c r="J22" s="6" t="s">
        <v>18</v>
      </c>
      <c r="K22" s="5" t="s">
        <v>28</v>
      </c>
    </row>
    <row r="23" ht="15.75" customHeight="1">
      <c r="A23" s="3" t="s">
        <v>31</v>
      </c>
      <c r="B23" s="4">
        <v>1022.0</v>
      </c>
      <c r="C23" s="5">
        <v>2877.0</v>
      </c>
      <c r="D23" s="5" t="s">
        <v>16</v>
      </c>
      <c r="E23" s="5">
        <v>11.4</v>
      </c>
      <c r="F23" s="5">
        <v>16.3</v>
      </c>
      <c r="G23" s="5">
        <f t="shared" si="1"/>
        <v>4.9</v>
      </c>
      <c r="H23" s="5">
        <f t="shared" si="2"/>
        <v>1.63</v>
      </c>
      <c r="I23" s="6" t="s">
        <v>21</v>
      </c>
      <c r="J23" s="6" t="s">
        <v>22</v>
      </c>
      <c r="K23" s="5" t="s">
        <v>34</v>
      </c>
    </row>
    <row r="24" ht="15.75" customHeight="1">
      <c r="A24" s="3" t="s">
        <v>31</v>
      </c>
      <c r="B24" s="4">
        <v>1023.0</v>
      </c>
      <c r="C24" s="5">
        <v>1109.0</v>
      </c>
      <c r="D24" s="5" t="s">
        <v>25</v>
      </c>
      <c r="E24" s="5">
        <v>3.0</v>
      </c>
      <c r="F24" s="5">
        <v>8.0</v>
      </c>
      <c r="G24" s="5">
        <f t="shared" si="1"/>
        <v>5</v>
      </c>
      <c r="H24" s="5">
        <f t="shared" si="2"/>
        <v>0.8</v>
      </c>
      <c r="I24" s="6" t="s">
        <v>26</v>
      </c>
      <c r="J24" s="6" t="s">
        <v>27</v>
      </c>
      <c r="K24" s="5" t="s">
        <v>15</v>
      </c>
    </row>
    <row r="25" ht="15.75" customHeight="1">
      <c r="A25" s="3" t="s">
        <v>31</v>
      </c>
      <c r="B25" s="4">
        <v>1024.0</v>
      </c>
      <c r="C25" s="5">
        <v>9212.0</v>
      </c>
      <c r="D25" s="5" t="s">
        <v>30</v>
      </c>
      <c r="E25" s="5">
        <v>4.0</v>
      </c>
      <c r="F25" s="5">
        <v>7.0</v>
      </c>
      <c r="G25" s="5">
        <f t="shared" si="1"/>
        <v>3</v>
      </c>
      <c r="H25" s="5">
        <f t="shared" si="2"/>
        <v>0.7</v>
      </c>
      <c r="I25" s="6" t="s">
        <v>17</v>
      </c>
      <c r="J25" s="6" t="s">
        <v>18</v>
      </c>
      <c r="K25" s="5" t="s">
        <v>34</v>
      </c>
    </row>
    <row r="26" ht="15.75" customHeight="1">
      <c r="A26" s="3" t="s">
        <v>31</v>
      </c>
      <c r="B26" s="4">
        <v>1025.0</v>
      </c>
      <c r="C26" s="5">
        <v>2877.0</v>
      </c>
      <c r="D26" s="5" t="s">
        <v>16</v>
      </c>
      <c r="E26" s="5">
        <v>11.4</v>
      </c>
      <c r="F26" s="5">
        <v>16.3</v>
      </c>
      <c r="G26" s="5">
        <f t="shared" si="1"/>
        <v>4.9</v>
      </c>
      <c r="H26" s="5">
        <f t="shared" si="2"/>
        <v>1.63</v>
      </c>
      <c r="I26" s="6" t="s">
        <v>26</v>
      </c>
      <c r="J26" s="6" t="s">
        <v>27</v>
      </c>
      <c r="K26" s="5" t="s">
        <v>33</v>
      </c>
    </row>
    <row r="27" ht="15.75" customHeight="1">
      <c r="A27" s="3" t="s">
        <v>31</v>
      </c>
      <c r="B27" s="4">
        <v>1026.0</v>
      </c>
      <c r="C27" s="5">
        <v>6119.0</v>
      </c>
      <c r="D27" s="5" t="s">
        <v>35</v>
      </c>
      <c r="E27" s="5">
        <v>9.0</v>
      </c>
      <c r="F27" s="5">
        <v>14.0</v>
      </c>
      <c r="G27" s="5">
        <f t="shared" si="1"/>
        <v>5</v>
      </c>
      <c r="H27" s="5">
        <f t="shared" si="2"/>
        <v>1.4</v>
      </c>
      <c r="I27" s="6" t="s">
        <v>26</v>
      </c>
      <c r="J27" s="6" t="s">
        <v>27</v>
      </c>
      <c r="K27" s="5" t="s">
        <v>15</v>
      </c>
    </row>
    <row r="28" ht="15.75" customHeight="1">
      <c r="A28" s="3" t="s">
        <v>31</v>
      </c>
      <c r="B28" s="4">
        <v>1027.0</v>
      </c>
      <c r="C28" s="5">
        <v>6119.0</v>
      </c>
      <c r="D28" s="5" t="s">
        <v>35</v>
      </c>
      <c r="E28" s="5">
        <v>9.0</v>
      </c>
      <c r="F28" s="5">
        <v>14.0</v>
      </c>
      <c r="G28" s="5">
        <f t="shared" si="1"/>
        <v>5</v>
      </c>
      <c r="H28" s="5">
        <f t="shared" si="2"/>
        <v>1.4</v>
      </c>
      <c r="I28" s="6" t="s">
        <v>13</v>
      </c>
      <c r="J28" s="6" t="s">
        <v>14</v>
      </c>
      <c r="K28" s="5" t="s">
        <v>33</v>
      </c>
    </row>
    <row r="29" ht="15.75" customHeight="1">
      <c r="A29" s="3" t="s">
        <v>31</v>
      </c>
      <c r="B29" s="4">
        <v>1028.0</v>
      </c>
      <c r="C29" s="5">
        <v>8722.0</v>
      </c>
      <c r="D29" s="5" t="s">
        <v>24</v>
      </c>
      <c r="E29" s="5">
        <v>344.0</v>
      </c>
      <c r="F29" s="5">
        <v>502.0</v>
      </c>
      <c r="G29" s="5">
        <f t="shared" si="1"/>
        <v>158</v>
      </c>
      <c r="H29" s="5">
        <f t="shared" si="2"/>
        <v>31.6</v>
      </c>
      <c r="I29" s="6" t="s">
        <v>13</v>
      </c>
      <c r="J29" s="6" t="s">
        <v>14</v>
      </c>
      <c r="K29" s="5" t="s">
        <v>23</v>
      </c>
    </row>
    <row r="30" ht="15.75" customHeight="1">
      <c r="A30" s="3" t="s">
        <v>31</v>
      </c>
      <c r="B30" s="4">
        <v>1029.0</v>
      </c>
      <c r="C30" s="5">
        <v>2499.0</v>
      </c>
      <c r="D30" s="5" t="s">
        <v>20</v>
      </c>
      <c r="E30" s="5">
        <v>6.2</v>
      </c>
      <c r="F30" s="5">
        <v>9.2</v>
      </c>
      <c r="G30" s="5">
        <f t="shared" si="1"/>
        <v>3</v>
      </c>
      <c r="H30" s="5">
        <f t="shared" si="2"/>
        <v>0.92</v>
      </c>
      <c r="I30" s="6" t="s">
        <v>17</v>
      </c>
      <c r="J30" s="6" t="s">
        <v>18</v>
      </c>
      <c r="K30" s="5" t="s">
        <v>23</v>
      </c>
    </row>
    <row r="31" ht="15.75" customHeight="1">
      <c r="A31" s="3" t="s">
        <v>31</v>
      </c>
      <c r="B31" s="4">
        <v>1030.0</v>
      </c>
      <c r="C31" s="5">
        <v>4421.0</v>
      </c>
      <c r="D31" s="5" t="s">
        <v>29</v>
      </c>
      <c r="E31" s="5">
        <v>45.0</v>
      </c>
      <c r="F31" s="5">
        <v>87.0</v>
      </c>
      <c r="G31" s="5">
        <f t="shared" si="1"/>
        <v>42</v>
      </c>
      <c r="H31" s="5">
        <f t="shared" si="2"/>
        <v>8.4</v>
      </c>
      <c r="I31" s="6" t="s">
        <v>17</v>
      </c>
      <c r="J31" s="6" t="s">
        <v>18</v>
      </c>
      <c r="K31" s="5" t="s">
        <v>33</v>
      </c>
    </row>
    <row r="32" ht="15.75" customHeight="1">
      <c r="A32" s="3" t="s">
        <v>31</v>
      </c>
      <c r="B32" s="4">
        <v>1031.0</v>
      </c>
      <c r="C32" s="5">
        <v>1109.0</v>
      </c>
      <c r="D32" s="5" t="s">
        <v>25</v>
      </c>
      <c r="E32" s="5">
        <v>3.0</v>
      </c>
      <c r="F32" s="5">
        <v>8.0</v>
      </c>
      <c r="G32" s="5">
        <f t="shared" si="1"/>
        <v>5</v>
      </c>
      <c r="H32" s="5">
        <f t="shared" si="2"/>
        <v>0.8</v>
      </c>
      <c r="I32" s="6" t="s">
        <v>17</v>
      </c>
      <c r="J32" s="6" t="s">
        <v>18</v>
      </c>
      <c r="K32" s="5" t="s">
        <v>19</v>
      </c>
    </row>
    <row r="33" ht="15.75" customHeight="1">
      <c r="A33" s="3" t="s">
        <v>31</v>
      </c>
      <c r="B33" s="4">
        <v>1032.0</v>
      </c>
      <c r="C33" s="5">
        <v>2877.0</v>
      </c>
      <c r="D33" s="5" t="s">
        <v>16</v>
      </c>
      <c r="E33" s="5">
        <v>11.4</v>
      </c>
      <c r="F33" s="5">
        <v>16.3</v>
      </c>
      <c r="G33" s="5">
        <f t="shared" si="1"/>
        <v>4.9</v>
      </c>
      <c r="H33" s="5">
        <f t="shared" si="2"/>
        <v>1.63</v>
      </c>
      <c r="I33" s="6" t="s">
        <v>13</v>
      </c>
      <c r="J33" s="6" t="s">
        <v>14</v>
      </c>
      <c r="K33" s="5" t="s">
        <v>23</v>
      </c>
    </row>
    <row r="34" ht="15.75" customHeight="1">
      <c r="A34" s="3" t="s">
        <v>31</v>
      </c>
      <c r="B34" s="4">
        <v>1033.0</v>
      </c>
      <c r="C34" s="5">
        <v>9822.0</v>
      </c>
      <c r="D34" s="5" t="s">
        <v>12</v>
      </c>
      <c r="E34" s="5">
        <v>58.3</v>
      </c>
      <c r="F34" s="5">
        <v>98.4</v>
      </c>
      <c r="G34" s="5">
        <f t="shared" si="1"/>
        <v>40.1</v>
      </c>
      <c r="H34" s="5">
        <f t="shared" si="2"/>
        <v>8.02</v>
      </c>
      <c r="I34" s="6" t="s">
        <v>17</v>
      </c>
      <c r="J34" s="6" t="s">
        <v>18</v>
      </c>
      <c r="K34" s="5" t="s">
        <v>19</v>
      </c>
    </row>
    <row r="35" ht="15.75" customHeight="1">
      <c r="A35" s="3" t="s">
        <v>31</v>
      </c>
      <c r="B35" s="4">
        <v>1034.0</v>
      </c>
      <c r="C35" s="5">
        <v>2877.0</v>
      </c>
      <c r="D35" s="5" t="s">
        <v>16</v>
      </c>
      <c r="E35" s="5">
        <v>11.4</v>
      </c>
      <c r="F35" s="5">
        <v>16.3</v>
      </c>
      <c r="G35" s="5">
        <f t="shared" si="1"/>
        <v>4.9</v>
      </c>
      <c r="H35" s="5">
        <f t="shared" si="2"/>
        <v>1.63</v>
      </c>
      <c r="I35" s="6" t="s">
        <v>17</v>
      </c>
      <c r="J35" s="6" t="s">
        <v>18</v>
      </c>
      <c r="K35" s="5" t="s">
        <v>28</v>
      </c>
    </row>
    <row r="36" ht="15.75" customHeight="1">
      <c r="A36" s="3" t="s">
        <v>36</v>
      </c>
      <c r="B36" s="4">
        <v>1035.0</v>
      </c>
      <c r="C36" s="5">
        <v>2499.0</v>
      </c>
      <c r="D36" s="5" t="s">
        <v>20</v>
      </c>
      <c r="E36" s="5">
        <v>6.2</v>
      </c>
      <c r="F36" s="5">
        <v>9.2</v>
      </c>
      <c r="G36" s="5">
        <f t="shared" si="1"/>
        <v>3</v>
      </c>
      <c r="H36" s="5">
        <f t="shared" si="2"/>
        <v>0.92</v>
      </c>
      <c r="I36" s="6" t="s">
        <v>26</v>
      </c>
      <c r="J36" s="6" t="s">
        <v>27</v>
      </c>
      <c r="K36" s="5" t="s">
        <v>19</v>
      </c>
    </row>
    <row r="37" ht="15.75" customHeight="1">
      <c r="A37" s="3" t="s">
        <v>36</v>
      </c>
      <c r="B37" s="4">
        <v>1036.0</v>
      </c>
      <c r="C37" s="5">
        <v>2499.0</v>
      </c>
      <c r="D37" s="5" t="s">
        <v>20</v>
      </c>
      <c r="E37" s="5">
        <v>6.2</v>
      </c>
      <c r="F37" s="5">
        <v>9.2</v>
      </c>
      <c r="G37" s="5">
        <f t="shared" si="1"/>
        <v>3</v>
      </c>
      <c r="H37" s="5">
        <f t="shared" si="2"/>
        <v>0.92</v>
      </c>
      <c r="I37" s="6" t="s">
        <v>17</v>
      </c>
      <c r="J37" s="6" t="s">
        <v>18</v>
      </c>
      <c r="K37" s="5" t="s">
        <v>33</v>
      </c>
    </row>
    <row r="38" ht="15.75" customHeight="1">
      <c r="A38" s="3" t="s">
        <v>36</v>
      </c>
      <c r="B38" s="4">
        <v>1037.0</v>
      </c>
      <c r="C38" s="5">
        <v>6622.0</v>
      </c>
      <c r="D38" s="5" t="s">
        <v>37</v>
      </c>
      <c r="E38" s="5">
        <v>42.0</v>
      </c>
      <c r="F38" s="5">
        <v>77.0</v>
      </c>
      <c r="G38" s="5">
        <f t="shared" si="1"/>
        <v>35</v>
      </c>
      <c r="H38" s="5">
        <f t="shared" si="2"/>
        <v>7</v>
      </c>
      <c r="I38" s="6" t="s">
        <v>17</v>
      </c>
      <c r="J38" s="6" t="s">
        <v>18</v>
      </c>
      <c r="K38" s="5" t="s">
        <v>33</v>
      </c>
    </row>
    <row r="39" ht="15.75" customHeight="1">
      <c r="A39" s="3" t="s">
        <v>36</v>
      </c>
      <c r="B39" s="4">
        <v>1038.0</v>
      </c>
      <c r="C39" s="5">
        <v>2499.0</v>
      </c>
      <c r="D39" s="5" t="s">
        <v>20</v>
      </c>
      <c r="E39" s="5">
        <v>6.2</v>
      </c>
      <c r="F39" s="5">
        <v>9.2</v>
      </c>
      <c r="G39" s="5">
        <f t="shared" si="1"/>
        <v>3</v>
      </c>
      <c r="H39" s="5">
        <f t="shared" si="2"/>
        <v>0.92</v>
      </c>
      <c r="I39" s="6" t="s">
        <v>17</v>
      </c>
      <c r="J39" s="6" t="s">
        <v>18</v>
      </c>
      <c r="K39" s="5" t="s">
        <v>33</v>
      </c>
    </row>
    <row r="40" ht="15.75" customHeight="1">
      <c r="A40" s="3" t="s">
        <v>36</v>
      </c>
      <c r="B40" s="4">
        <v>1039.0</v>
      </c>
      <c r="C40" s="5">
        <v>2877.0</v>
      </c>
      <c r="D40" s="5" t="s">
        <v>16</v>
      </c>
      <c r="E40" s="5">
        <v>11.4</v>
      </c>
      <c r="F40" s="5">
        <v>16.3</v>
      </c>
      <c r="G40" s="5">
        <f t="shared" si="1"/>
        <v>4.9</v>
      </c>
      <c r="H40" s="5">
        <f t="shared" si="2"/>
        <v>1.63</v>
      </c>
      <c r="I40" s="6" t="s">
        <v>17</v>
      </c>
      <c r="J40" s="6" t="s">
        <v>18</v>
      </c>
      <c r="K40" s="5" t="s">
        <v>19</v>
      </c>
    </row>
    <row r="41" ht="15.75" customHeight="1">
      <c r="A41" s="3" t="s">
        <v>36</v>
      </c>
      <c r="B41" s="4">
        <v>1040.0</v>
      </c>
      <c r="C41" s="5">
        <v>1109.0</v>
      </c>
      <c r="D41" s="5" t="s">
        <v>25</v>
      </c>
      <c r="E41" s="5">
        <v>3.0</v>
      </c>
      <c r="F41" s="5">
        <v>8.0</v>
      </c>
      <c r="G41" s="5">
        <f t="shared" si="1"/>
        <v>5</v>
      </c>
      <c r="H41" s="5">
        <f t="shared" si="2"/>
        <v>0.8</v>
      </c>
      <c r="I41" s="6" t="s">
        <v>17</v>
      </c>
      <c r="J41" s="6" t="s">
        <v>18</v>
      </c>
      <c r="K41" s="5" t="s">
        <v>23</v>
      </c>
    </row>
    <row r="42" ht="15.75" customHeight="1">
      <c r="A42" s="3" t="s">
        <v>36</v>
      </c>
      <c r="B42" s="4">
        <v>1041.0</v>
      </c>
      <c r="C42" s="5">
        <v>2499.0</v>
      </c>
      <c r="D42" s="5" t="s">
        <v>20</v>
      </c>
      <c r="E42" s="5">
        <v>6.2</v>
      </c>
      <c r="F42" s="5">
        <v>9.2</v>
      </c>
      <c r="G42" s="5">
        <f t="shared" si="1"/>
        <v>3</v>
      </c>
      <c r="H42" s="5">
        <f t="shared" si="2"/>
        <v>0.92</v>
      </c>
      <c r="I42" s="6" t="s">
        <v>13</v>
      </c>
      <c r="J42" s="6" t="s">
        <v>14</v>
      </c>
      <c r="K42" s="5" t="s">
        <v>15</v>
      </c>
    </row>
    <row r="43" ht="15.75" customHeight="1">
      <c r="A43" s="3" t="s">
        <v>36</v>
      </c>
      <c r="B43" s="4">
        <v>1042.0</v>
      </c>
      <c r="C43" s="5">
        <v>8722.0</v>
      </c>
      <c r="D43" s="5" t="s">
        <v>24</v>
      </c>
      <c r="E43" s="5">
        <v>344.0</v>
      </c>
      <c r="F43" s="5">
        <v>502.0</v>
      </c>
      <c r="G43" s="5">
        <f t="shared" si="1"/>
        <v>158</v>
      </c>
      <c r="H43" s="5">
        <f t="shared" si="2"/>
        <v>31.6</v>
      </c>
      <c r="I43" s="6" t="s">
        <v>21</v>
      </c>
      <c r="J43" s="6" t="s">
        <v>22</v>
      </c>
      <c r="K43" s="5" t="s">
        <v>15</v>
      </c>
    </row>
    <row r="44" ht="15.75" customHeight="1">
      <c r="A44" s="3" t="s">
        <v>36</v>
      </c>
      <c r="B44" s="4">
        <v>1043.0</v>
      </c>
      <c r="C44" s="5">
        <v>2242.0</v>
      </c>
      <c r="D44" s="5" t="s">
        <v>32</v>
      </c>
      <c r="E44" s="5">
        <v>60.0</v>
      </c>
      <c r="F44" s="5">
        <v>124.0</v>
      </c>
      <c r="G44" s="5">
        <f t="shared" si="1"/>
        <v>64</v>
      </c>
      <c r="H44" s="5">
        <f t="shared" si="2"/>
        <v>12.8</v>
      </c>
      <c r="I44" s="6" t="s">
        <v>21</v>
      </c>
      <c r="J44" s="6" t="s">
        <v>22</v>
      </c>
      <c r="K44" s="5" t="s">
        <v>19</v>
      </c>
    </row>
    <row r="45" ht="15.75" customHeight="1">
      <c r="A45" s="3" t="s">
        <v>36</v>
      </c>
      <c r="B45" s="4">
        <v>1044.0</v>
      </c>
      <c r="C45" s="5">
        <v>2877.0</v>
      </c>
      <c r="D45" s="5" t="s">
        <v>16</v>
      </c>
      <c r="E45" s="5">
        <v>11.4</v>
      </c>
      <c r="F45" s="5">
        <v>16.3</v>
      </c>
      <c r="G45" s="5">
        <f t="shared" si="1"/>
        <v>4.9</v>
      </c>
      <c r="H45" s="5">
        <f t="shared" si="2"/>
        <v>1.63</v>
      </c>
      <c r="I45" s="6" t="s">
        <v>21</v>
      </c>
      <c r="J45" s="6" t="s">
        <v>22</v>
      </c>
      <c r="K45" s="5" t="s">
        <v>19</v>
      </c>
    </row>
    <row r="46" ht="15.75" customHeight="1">
      <c r="A46" s="3" t="s">
        <v>36</v>
      </c>
      <c r="B46" s="4">
        <v>1045.0</v>
      </c>
      <c r="C46" s="5">
        <v>8722.0</v>
      </c>
      <c r="D46" s="5" t="s">
        <v>24</v>
      </c>
      <c r="E46" s="5">
        <v>344.0</v>
      </c>
      <c r="F46" s="5">
        <v>502.0</v>
      </c>
      <c r="G46" s="5">
        <f t="shared" si="1"/>
        <v>158</v>
      </c>
      <c r="H46" s="5">
        <f t="shared" si="2"/>
        <v>31.6</v>
      </c>
      <c r="I46" s="6" t="s">
        <v>26</v>
      </c>
      <c r="J46" s="6" t="s">
        <v>27</v>
      </c>
      <c r="K46" s="5" t="s">
        <v>23</v>
      </c>
    </row>
    <row r="47" ht="15.75" customHeight="1">
      <c r="A47" s="3" t="s">
        <v>36</v>
      </c>
      <c r="B47" s="4">
        <v>1046.0</v>
      </c>
      <c r="C47" s="5">
        <v>6119.0</v>
      </c>
      <c r="D47" s="5" t="s">
        <v>35</v>
      </c>
      <c r="E47" s="5">
        <v>9.0</v>
      </c>
      <c r="F47" s="5">
        <v>14.0</v>
      </c>
      <c r="G47" s="5">
        <f t="shared" si="1"/>
        <v>5</v>
      </c>
      <c r="H47" s="5">
        <f t="shared" si="2"/>
        <v>1.4</v>
      </c>
      <c r="I47" s="6" t="s">
        <v>17</v>
      </c>
      <c r="J47" s="6" t="s">
        <v>18</v>
      </c>
      <c r="K47" s="5" t="s">
        <v>34</v>
      </c>
    </row>
    <row r="48" ht="15.75" customHeight="1">
      <c r="A48" s="3" t="s">
        <v>36</v>
      </c>
      <c r="B48" s="4">
        <v>1047.0</v>
      </c>
      <c r="C48" s="5">
        <v>6622.0</v>
      </c>
      <c r="D48" s="5" t="s">
        <v>37</v>
      </c>
      <c r="E48" s="5">
        <v>42.0</v>
      </c>
      <c r="F48" s="5">
        <v>77.0</v>
      </c>
      <c r="G48" s="5">
        <f t="shared" si="1"/>
        <v>35</v>
      </c>
      <c r="H48" s="5">
        <f t="shared" si="2"/>
        <v>7</v>
      </c>
      <c r="I48" s="6" t="s">
        <v>26</v>
      </c>
      <c r="J48" s="6" t="s">
        <v>27</v>
      </c>
      <c r="K48" s="5" t="s">
        <v>23</v>
      </c>
    </row>
    <row r="49" ht="15.75" customHeight="1">
      <c r="A49" s="3" t="s">
        <v>36</v>
      </c>
      <c r="B49" s="4">
        <v>1048.0</v>
      </c>
      <c r="C49" s="5">
        <v>8722.0</v>
      </c>
      <c r="D49" s="5" t="s">
        <v>24</v>
      </c>
      <c r="E49" s="5">
        <v>344.0</v>
      </c>
      <c r="F49" s="5">
        <v>502.0</v>
      </c>
      <c r="G49" s="5">
        <f t="shared" si="1"/>
        <v>158</v>
      </c>
      <c r="H49" s="5">
        <f t="shared" si="2"/>
        <v>31.6</v>
      </c>
      <c r="I49" s="6" t="s">
        <v>13</v>
      </c>
      <c r="J49" s="6" t="s">
        <v>14</v>
      </c>
      <c r="K49" s="5" t="s">
        <v>23</v>
      </c>
    </row>
    <row r="50" ht="15.75" customHeight="1">
      <c r="A50" s="3" t="s">
        <v>38</v>
      </c>
      <c r="B50" s="4">
        <v>1049.0</v>
      </c>
      <c r="C50" s="5">
        <v>2499.0</v>
      </c>
      <c r="D50" s="5" t="s">
        <v>20</v>
      </c>
      <c r="E50" s="5">
        <v>6.2</v>
      </c>
      <c r="F50" s="5">
        <v>9.2</v>
      </c>
      <c r="G50" s="5">
        <f t="shared" si="1"/>
        <v>3</v>
      </c>
      <c r="H50" s="5">
        <f t="shared" si="2"/>
        <v>0.92</v>
      </c>
      <c r="I50" s="6" t="s">
        <v>13</v>
      </c>
      <c r="J50" s="6" t="s">
        <v>14</v>
      </c>
      <c r="K50" s="5" t="s">
        <v>28</v>
      </c>
    </row>
    <row r="51" ht="15.75" customHeight="1">
      <c r="A51" s="3" t="s">
        <v>38</v>
      </c>
      <c r="B51" s="4">
        <v>1050.0</v>
      </c>
      <c r="C51" s="5">
        <v>2877.0</v>
      </c>
      <c r="D51" s="5" t="s">
        <v>16</v>
      </c>
      <c r="E51" s="5">
        <v>11.4</v>
      </c>
      <c r="F51" s="5">
        <v>16.3</v>
      </c>
      <c r="G51" s="5">
        <f t="shared" si="1"/>
        <v>4.9</v>
      </c>
      <c r="H51" s="5">
        <f t="shared" si="2"/>
        <v>1.63</v>
      </c>
      <c r="I51" s="6" t="s">
        <v>13</v>
      </c>
      <c r="J51" s="6" t="s">
        <v>14</v>
      </c>
      <c r="K51" s="5" t="s">
        <v>23</v>
      </c>
    </row>
    <row r="52" ht="15.75" customHeight="1">
      <c r="A52" s="3" t="s">
        <v>38</v>
      </c>
      <c r="B52" s="4">
        <v>1051.0</v>
      </c>
      <c r="C52" s="5">
        <v>6119.0</v>
      </c>
      <c r="D52" s="5" t="s">
        <v>35</v>
      </c>
      <c r="E52" s="5">
        <v>9.0</v>
      </c>
      <c r="F52" s="5">
        <v>14.0</v>
      </c>
      <c r="G52" s="5">
        <f t="shared" si="1"/>
        <v>5</v>
      </c>
      <c r="H52" s="5">
        <f t="shared" si="2"/>
        <v>1.4</v>
      </c>
      <c r="I52" s="6" t="s">
        <v>21</v>
      </c>
      <c r="J52" s="6" t="s">
        <v>22</v>
      </c>
      <c r="K52" s="5" t="s">
        <v>34</v>
      </c>
    </row>
    <row r="53" ht="15.75" customHeight="1">
      <c r="A53" s="3" t="s">
        <v>38</v>
      </c>
      <c r="B53" s="4">
        <v>1052.0</v>
      </c>
      <c r="C53" s="5">
        <v>6622.0</v>
      </c>
      <c r="D53" s="5" t="s">
        <v>37</v>
      </c>
      <c r="E53" s="5">
        <v>42.0</v>
      </c>
      <c r="F53" s="5">
        <v>77.0</v>
      </c>
      <c r="G53" s="5">
        <f t="shared" si="1"/>
        <v>35</v>
      </c>
      <c r="H53" s="5">
        <f t="shared" si="2"/>
        <v>7</v>
      </c>
      <c r="I53" s="6" t="s">
        <v>21</v>
      </c>
      <c r="J53" s="6" t="s">
        <v>22</v>
      </c>
      <c r="K53" s="5" t="s">
        <v>23</v>
      </c>
    </row>
    <row r="54" ht="15.75" customHeight="1">
      <c r="A54" s="3" t="s">
        <v>38</v>
      </c>
      <c r="B54" s="4">
        <v>1053.0</v>
      </c>
      <c r="C54" s="5">
        <v>2242.0</v>
      </c>
      <c r="D54" s="5" t="s">
        <v>32</v>
      </c>
      <c r="E54" s="5">
        <v>60.0</v>
      </c>
      <c r="F54" s="5">
        <v>124.0</v>
      </c>
      <c r="G54" s="5">
        <f t="shared" si="1"/>
        <v>64</v>
      </c>
      <c r="H54" s="5">
        <f t="shared" si="2"/>
        <v>12.8</v>
      </c>
      <c r="I54" s="6" t="s">
        <v>13</v>
      </c>
      <c r="J54" s="6" t="s">
        <v>14</v>
      </c>
      <c r="K54" s="5" t="s">
        <v>19</v>
      </c>
    </row>
    <row r="55" ht="15.75" customHeight="1">
      <c r="A55" s="3" t="s">
        <v>38</v>
      </c>
      <c r="B55" s="4">
        <v>1054.0</v>
      </c>
      <c r="C55" s="5">
        <v>4421.0</v>
      </c>
      <c r="D55" s="5" t="s">
        <v>29</v>
      </c>
      <c r="E55" s="5">
        <v>45.0</v>
      </c>
      <c r="F55" s="5">
        <v>87.0</v>
      </c>
      <c r="G55" s="5">
        <f t="shared" si="1"/>
        <v>42</v>
      </c>
      <c r="H55" s="5">
        <f t="shared" si="2"/>
        <v>8.4</v>
      </c>
      <c r="I55" s="6" t="s">
        <v>21</v>
      </c>
      <c r="J55" s="6" t="s">
        <v>22</v>
      </c>
      <c r="K55" s="5" t="s">
        <v>33</v>
      </c>
    </row>
    <row r="56" ht="15.75" customHeight="1">
      <c r="A56" s="3" t="s">
        <v>38</v>
      </c>
      <c r="B56" s="4">
        <v>1055.0</v>
      </c>
      <c r="C56" s="5">
        <v>6119.0</v>
      </c>
      <c r="D56" s="5" t="s">
        <v>35</v>
      </c>
      <c r="E56" s="5">
        <v>9.0</v>
      </c>
      <c r="F56" s="5">
        <v>14.0</v>
      </c>
      <c r="G56" s="5">
        <f t="shared" si="1"/>
        <v>5</v>
      </c>
      <c r="H56" s="5">
        <f t="shared" si="2"/>
        <v>1.4</v>
      </c>
      <c r="I56" s="6" t="s">
        <v>17</v>
      </c>
      <c r="J56" s="6" t="s">
        <v>18</v>
      </c>
      <c r="K56" s="5" t="s">
        <v>33</v>
      </c>
    </row>
    <row r="57" ht="15.75" customHeight="1">
      <c r="A57" s="3" t="s">
        <v>38</v>
      </c>
      <c r="B57" s="4">
        <v>1056.0</v>
      </c>
      <c r="C57" s="5">
        <v>1109.0</v>
      </c>
      <c r="D57" s="5" t="s">
        <v>25</v>
      </c>
      <c r="E57" s="5">
        <v>3.0</v>
      </c>
      <c r="F57" s="5">
        <v>8.0</v>
      </c>
      <c r="G57" s="5">
        <f t="shared" si="1"/>
        <v>5</v>
      </c>
      <c r="H57" s="5">
        <f t="shared" si="2"/>
        <v>0.8</v>
      </c>
      <c r="I57" s="6" t="s">
        <v>21</v>
      </c>
      <c r="J57" s="6" t="s">
        <v>22</v>
      </c>
      <c r="K57" s="5" t="s">
        <v>19</v>
      </c>
    </row>
    <row r="58" ht="15.75" customHeight="1">
      <c r="A58" s="3" t="s">
        <v>38</v>
      </c>
      <c r="B58" s="4">
        <v>1057.0</v>
      </c>
      <c r="C58" s="5">
        <v>2499.0</v>
      </c>
      <c r="D58" s="5" t="s">
        <v>20</v>
      </c>
      <c r="E58" s="5">
        <v>6.2</v>
      </c>
      <c r="F58" s="5">
        <v>9.2</v>
      </c>
      <c r="G58" s="5">
        <f t="shared" si="1"/>
        <v>3</v>
      </c>
      <c r="H58" s="5">
        <f t="shared" si="2"/>
        <v>0.92</v>
      </c>
      <c r="I58" s="6" t="s">
        <v>17</v>
      </c>
      <c r="J58" s="6" t="s">
        <v>18</v>
      </c>
      <c r="K58" s="5" t="s">
        <v>19</v>
      </c>
    </row>
    <row r="59" ht="15.75" customHeight="1">
      <c r="A59" s="3" t="s">
        <v>38</v>
      </c>
      <c r="B59" s="4">
        <v>1058.0</v>
      </c>
      <c r="C59" s="5">
        <v>6119.0</v>
      </c>
      <c r="D59" s="5" t="s">
        <v>35</v>
      </c>
      <c r="E59" s="5">
        <v>9.0</v>
      </c>
      <c r="F59" s="5">
        <v>14.0</v>
      </c>
      <c r="G59" s="5">
        <f t="shared" si="1"/>
        <v>5</v>
      </c>
      <c r="H59" s="5">
        <f t="shared" si="2"/>
        <v>1.4</v>
      </c>
      <c r="I59" s="6" t="s">
        <v>26</v>
      </c>
      <c r="J59" s="6" t="s">
        <v>27</v>
      </c>
      <c r="K59" s="5" t="s">
        <v>23</v>
      </c>
    </row>
    <row r="60" ht="15.75" customHeight="1">
      <c r="A60" s="3" t="s">
        <v>38</v>
      </c>
      <c r="B60" s="4">
        <v>1059.0</v>
      </c>
      <c r="C60" s="5">
        <v>2242.0</v>
      </c>
      <c r="D60" s="5" t="s">
        <v>32</v>
      </c>
      <c r="E60" s="5">
        <v>60.0</v>
      </c>
      <c r="F60" s="5">
        <v>124.0</v>
      </c>
      <c r="G60" s="5">
        <f t="shared" si="1"/>
        <v>64</v>
      </c>
      <c r="H60" s="5">
        <f t="shared" si="2"/>
        <v>12.8</v>
      </c>
      <c r="I60" s="6" t="s">
        <v>21</v>
      </c>
      <c r="J60" s="6" t="s">
        <v>22</v>
      </c>
      <c r="K60" s="5" t="s">
        <v>23</v>
      </c>
    </row>
    <row r="61" ht="15.75" customHeight="1">
      <c r="A61" s="3" t="s">
        <v>38</v>
      </c>
      <c r="B61" s="4">
        <v>1060.0</v>
      </c>
      <c r="C61" s="5">
        <v>6119.0</v>
      </c>
      <c r="D61" s="5" t="s">
        <v>35</v>
      </c>
      <c r="E61" s="5">
        <v>9.0</v>
      </c>
      <c r="F61" s="5">
        <v>14.0</v>
      </c>
      <c r="G61" s="5">
        <f t="shared" si="1"/>
        <v>5</v>
      </c>
      <c r="H61" s="5">
        <f t="shared" si="2"/>
        <v>1.4</v>
      </c>
      <c r="I61" s="6" t="s">
        <v>21</v>
      </c>
      <c r="J61" s="6" t="s">
        <v>22</v>
      </c>
      <c r="K61" s="5" t="s">
        <v>33</v>
      </c>
    </row>
    <row r="62" ht="15.75" customHeight="1">
      <c r="A62" s="3" t="s">
        <v>39</v>
      </c>
      <c r="B62" s="4">
        <v>1061.0</v>
      </c>
      <c r="C62" s="5">
        <v>1109.0</v>
      </c>
      <c r="D62" s="5" t="s">
        <v>25</v>
      </c>
      <c r="E62" s="5">
        <v>3.0</v>
      </c>
      <c r="F62" s="5">
        <v>8.0</v>
      </c>
      <c r="G62" s="5">
        <f t="shared" si="1"/>
        <v>5</v>
      </c>
      <c r="H62" s="5">
        <f t="shared" si="2"/>
        <v>0.8</v>
      </c>
      <c r="I62" s="6" t="s">
        <v>21</v>
      </c>
      <c r="J62" s="6" t="s">
        <v>22</v>
      </c>
      <c r="K62" s="5" t="s">
        <v>33</v>
      </c>
    </row>
    <row r="63" ht="15.75" customHeight="1">
      <c r="A63" s="3" t="s">
        <v>39</v>
      </c>
      <c r="B63" s="4">
        <v>1062.0</v>
      </c>
      <c r="C63" s="5">
        <v>2499.0</v>
      </c>
      <c r="D63" s="5" t="s">
        <v>20</v>
      </c>
      <c r="E63" s="5">
        <v>6.2</v>
      </c>
      <c r="F63" s="5">
        <v>9.2</v>
      </c>
      <c r="G63" s="5">
        <f t="shared" si="1"/>
        <v>3</v>
      </c>
      <c r="H63" s="5">
        <f t="shared" si="2"/>
        <v>0.92</v>
      </c>
      <c r="I63" s="6" t="s">
        <v>13</v>
      </c>
      <c r="J63" s="6" t="s">
        <v>14</v>
      </c>
      <c r="K63" s="5" t="s">
        <v>23</v>
      </c>
    </row>
    <row r="64" ht="15.75" customHeight="1">
      <c r="A64" s="3" t="s">
        <v>39</v>
      </c>
      <c r="B64" s="4">
        <v>1063.0</v>
      </c>
      <c r="C64" s="5">
        <v>1109.0</v>
      </c>
      <c r="D64" s="5" t="s">
        <v>25</v>
      </c>
      <c r="E64" s="5">
        <v>3.0</v>
      </c>
      <c r="F64" s="5">
        <v>8.0</v>
      </c>
      <c r="G64" s="5">
        <f t="shared" si="1"/>
        <v>5</v>
      </c>
      <c r="H64" s="5">
        <f t="shared" si="2"/>
        <v>0.8</v>
      </c>
      <c r="I64" s="6" t="s">
        <v>21</v>
      </c>
      <c r="J64" s="6" t="s">
        <v>22</v>
      </c>
      <c r="K64" s="5" t="s">
        <v>19</v>
      </c>
    </row>
    <row r="65" ht="15.75" customHeight="1">
      <c r="A65" s="3" t="s">
        <v>39</v>
      </c>
      <c r="B65" s="4">
        <v>1064.0</v>
      </c>
      <c r="C65" s="5">
        <v>2499.0</v>
      </c>
      <c r="D65" s="5" t="s">
        <v>20</v>
      </c>
      <c r="E65" s="5">
        <v>6.2</v>
      </c>
      <c r="F65" s="5">
        <v>9.2</v>
      </c>
      <c r="G65" s="5">
        <f t="shared" si="1"/>
        <v>3</v>
      </c>
      <c r="H65" s="5">
        <f t="shared" si="2"/>
        <v>0.92</v>
      </c>
      <c r="I65" s="6" t="s">
        <v>26</v>
      </c>
      <c r="J65" s="6" t="s">
        <v>27</v>
      </c>
      <c r="K65" s="5" t="s">
        <v>23</v>
      </c>
    </row>
    <row r="66" ht="15.75" customHeight="1">
      <c r="A66" s="3" t="s">
        <v>39</v>
      </c>
      <c r="B66" s="4">
        <v>1065.0</v>
      </c>
      <c r="C66" s="5">
        <v>2499.0</v>
      </c>
      <c r="D66" s="5" t="s">
        <v>20</v>
      </c>
      <c r="E66" s="5">
        <v>6.2</v>
      </c>
      <c r="F66" s="5">
        <v>9.2</v>
      </c>
      <c r="G66" s="5">
        <f t="shared" si="1"/>
        <v>3</v>
      </c>
      <c r="H66" s="5">
        <f t="shared" si="2"/>
        <v>0.92</v>
      </c>
      <c r="I66" s="6" t="s">
        <v>21</v>
      </c>
      <c r="J66" s="6" t="s">
        <v>22</v>
      </c>
      <c r="K66" s="5" t="s">
        <v>15</v>
      </c>
    </row>
    <row r="67" ht="15.75" customHeight="1">
      <c r="A67" s="3" t="s">
        <v>39</v>
      </c>
      <c r="B67" s="4">
        <v>1066.0</v>
      </c>
      <c r="C67" s="5">
        <v>2877.0</v>
      </c>
      <c r="D67" s="5" t="s">
        <v>16</v>
      </c>
      <c r="E67" s="5">
        <v>11.4</v>
      </c>
      <c r="F67" s="5">
        <v>16.3</v>
      </c>
      <c r="G67" s="5">
        <f t="shared" si="1"/>
        <v>4.9</v>
      </c>
      <c r="H67" s="5">
        <f t="shared" si="2"/>
        <v>1.63</v>
      </c>
      <c r="I67" s="6" t="s">
        <v>21</v>
      </c>
      <c r="J67" s="6" t="s">
        <v>22</v>
      </c>
      <c r="K67" s="5" t="s">
        <v>33</v>
      </c>
    </row>
    <row r="68" ht="15.75" customHeight="1">
      <c r="A68" s="3" t="s">
        <v>39</v>
      </c>
      <c r="B68" s="4">
        <v>1067.0</v>
      </c>
      <c r="C68" s="5">
        <v>2877.0</v>
      </c>
      <c r="D68" s="5" t="s">
        <v>16</v>
      </c>
      <c r="E68" s="5">
        <v>11.4</v>
      </c>
      <c r="F68" s="5">
        <v>16.3</v>
      </c>
      <c r="G68" s="5">
        <f t="shared" si="1"/>
        <v>4.9</v>
      </c>
      <c r="H68" s="5">
        <f t="shared" si="2"/>
        <v>1.63</v>
      </c>
      <c r="I68" s="6" t="s">
        <v>21</v>
      </c>
      <c r="J68" s="6" t="s">
        <v>22</v>
      </c>
      <c r="K68" s="5" t="s">
        <v>34</v>
      </c>
    </row>
    <row r="69" ht="15.75" customHeight="1">
      <c r="A69" s="3" t="s">
        <v>39</v>
      </c>
      <c r="B69" s="4">
        <v>1068.0</v>
      </c>
      <c r="C69" s="5">
        <v>6119.0</v>
      </c>
      <c r="D69" s="5" t="s">
        <v>35</v>
      </c>
      <c r="E69" s="5">
        <v>9.0</v>
      </c>
      <c r="F69" s="5">
        <v>14.0</v>
      </c>
      <c r="G69" s="5">
        <f t="shared" si="1"/>
        <v>5</v>
      </c>
      <c r="H69" s="5">
        <f t="shared" si="2"/>
        <v>1.4</v>
      </c>
      <c r="I69" s="6" t="s">
        <v>17</v>
      </c>
      <c r="J69" s="6" t="s">
        <v>18</v>
      </c>
      <c r="K69" s="5" t="s">
        <v>19</v>
      </c>
    </row>
    <row r="70" ht="15.75" customHeight="1">
      <c r="A70" s="3" t="s">
        <v>39</v>
      </c>
      <c r="B70" s="4">
        <v>1069.0</v>
      </c>
      <c r="C70" s="5">
        <v>1109.0</v>
      </c>
      <c r="D70" s="5" t="s">
        <v>25</v>
      </c>
      <c r="E70" s="5">
        <v>3.0</v>
      </c>
      <c r="F70" s="5">
        <v>8.0</v>
      </c>
      <c r="G70" s="5">
        <f t="shared" si="1"/>
        <v>5</v>
      </c>
      <c r="H70" s="5">
        <f t="shared" si="2"/>
        <v>0.8</v>
      </c>
      <c r="I70" s="6" t="s">
        <v>21</v>
      </c>
      <c r="J70" s="6" t="s">
        <v>22</v>
      </c>
      <c r="K70" s="5" t="s">
        <v>23</v>
      </c>
    </row>
    <row r="71" ht="15.75" customHeight="1">
      <c r="A71" s="3" t="s">
        <v>39</v>
      </c>
      <c r="B71" s="4">
        <v>1070.0</v>
      </c>
      <c r="C71" s="5">
        <v>2499.0</v>
      </c>
      <c r="D71" s="5" t="s">
        <v>20</v>
      </c>
      <c r="E71" s="5">
        <v>6.2</v>
      </c>
      <c r="F71" s="5">
        <v>9.2</v>
      </c>
      <c r="G71" s="5">
        <f t="shared" si="1"/>
        <v>3</v>
      </c>
      <c r="H71" s="5">
        <f t="shared" si="2"/>
        <v>0.92</v>
      </c>
      <c r="I71" s="6" t="s">
        <v>26</v>
      </c>
      <c r="J71" s="6" t="s">
        <v>27</v>
      </c>
      <c r="K71" s="5" t="s">
        <v>23</v>
      </c>
    </row>
    <row r="72" ht="15.75" customHeight="1">
      <c r="A72" s="3" t="s">
        <v>39</v>
      </c>
      <c r="B72" s="4">
        <v>1071.0</v>
      </c>
      <c r="C72" s="5">
        <v>1109.0</v>
      </c>
      <c r="D72" s="5" t="s">
        <v>25</v>
      </c>
      <c r="E72" s="5">
        <v>3.0</v>
      </c>
      <c r="F72" s="5">
        <v>8.0</v>
      </c>
      <c r="G72" s="5">
        <f t="shared" si="1"/>
        <v>5</v>
      </c>
      <c r="H72" s="5">
        <f t="shared" si="2"/>
        <v>0.8</v>
      </c>
      <c r="I72" s="6" t="s">
        <v>13</v>
      </c>
      <c r="J72" s="6" t="s">
        <v>14</v>
      </c>
      <c r="K72" s="5" t="s">
        <v>23</v>
      </c>
    </row>
    <row r="73" ht="15.75" customHeight="1">
      <c r="A73" s="3" t="s">
        <v>39</v>
      </c>
      <c r="B73" s="4">
        <v>1072.0</v>
      </c>
      <c r="C73" s="5">
        <v>1109.0</v>
      </c>
      <c r="D73" s="5" t="s">
        <v>25</v>
      </c>
      <c r="E73" s="5">
        <v>3.0</v>
      </c>
      <c r="F73" s="5">
        <v>8.0</v>
      </c>
      <c r="G73" s="5">
        <f t="shared" si="1"/>
        <v>5</v>
      </c>
      <c r="H73" s="5">
        <f t="shared" si="2"/>
        <v>0.8</v>
      </c>
      <c r="I73" s="6" t="s">
        <v>21</v>
      </c>
      <c r="J73" s="6" t="s">
        <v>22</v>
      </c>
      <c r="K73" s="5" t="s">
        <v>33</v>
      </c>
    </row>
    <row r="74" ht="15.75" customHeight="1">
      <c r="A74" s="3" t="s">
        <v>39</v>
      </c>
      <c r="B74" s="4">
        <v>1073.0</v>
      </c>
      <c r="C74" s="5">
        <v>6622.0</v>
      </c>
      <c r="D74" s="5" t="s">
        <v>37</v>
      </c>
      <c r="E74" s="5">
        <v>42.0</v>
      </c>
      <c r="F74" s="5">
        <v>77.0</v>
      </c>
      <c r="G74" s="5">
        <f t="shared" si="1"/>
        <v>35</v>
      </c>
      <c r="H74" s="5">
        <f t="shared" si="2"/>
        <v>7</v>
      </c>
      <c r="I74" s="6" t="s">
        <v>21</v>
      </c>
      <c r="J74" s="6" t="s">
        <v>22</v>
      </c>
      <c r="K74" s="5" t="s">
        <v>19</v>
      </c>
    </row>
    <row r="75" ht="15.75" customHeight="1">
      <c r="A75" s="3" t="s">
        <v>39</v>
      </c>
      <c r="B75" s="4">
        <v>1074.0</v>
      </c>
      <c r="C75" s="5">
        <v>2877.0</v>
      </c>
      <c r="D75" s="5" t="s">
        <v>16</v>
      </c>
      <c r="E75" s="5">
        <v>11.4</v>
      </c>
      <c r="F75" s="5">
        <v>16.3</v>
      </c>
      <c r="G75" s="5">
        <f t="shared" si="1"/>
        <v>4.9</v>
      </c>
      <c r="H75" s="5">
        <f t="shared" si="2"/>
        <v>1.63</v>
      </c>
      <c r="I75" s="6" t="s">
        <v>21</v>
      </c>
      <c r="J75" s="6" t="s">
        <v>22</v>
      </c>
      <c r="K75" s="5" t="s">
        <v>23</v>
      </c>
    </row>
    <row r="76" ht="15.75" customHeight="1">
      <c r="A76" s="3" t="s">
        <v>39</v>
      </c>
      <c r="B76" s="4">
        <v>1075.0</v>
      </c>
      <c r="C76" s="5">
        <v>1109.0</v>
      </c>
      <c r="D76" s="5" t="s">
        <v>25</v>
      </c>
      <c r="E76" s="5">
        <v>3.0</v>
      </c>
      <c r="F76" s="5">
        <v>8.0</v>
      </c>
      <c r="G76" s="5">
        <f t="shared" si="1"/>
        <v>5</v>
      </c>
      <c r="H76" s="5">
        <f t="shared" si="2"/>
        <v>0.8</v>
      </c>
      <c r="I76" s="6" t="s">
        <v>26</v>
      </c>
      <c r="J76" s="6" t="s">
        <v>27</v>
      </c>
      <c r="K76" s="5" t="s">
        <v>19</v>
      </c>
    </row>
    <row r="77" ht="15.75" customHeight="1">
      <c r="A77" s="3" t="s">
        <v>39</v>
      </c>
      <c r="B77" s="4">
        <v>1076.0</v>
      </c>
      <c r="C77" s="5">
        <v>1109.0</v>
      </c>
      <c r="D77" s="5" t="s">
        <v>25</v>
      </c>
      <c r="E77" s="5">
        <v>3.0</v>
      </c>
      <c r="F77" s="5">
        <v>8.0</v>
      </c>
      <c r="G77" s="5">
        <f t="shared" si="1"/>
        <v>5</v>
      </c>
      <c r="H77" s="5">
        <f t="shared" si="2"/>
        <v>0.8</v>
      </c>
      <c r="I77" s="6" t="s">
        <v>17</v>
      </c>
      <c r="J77" s="6" t="s">
        <v>18</v>
      </c>
      <c r="K77" s="5" t="s">
        <v>23</v>
      </c>
    </row>
    <row r="78" ht="15.75" customHeight="1">
      <c r="A78" s="3" t="s">
        <v>39</v>
      </c>
      <c r="B78" s="4">
        <v>1077.0</v>
      </c>
      <c r="C78" s="5">
        <v>9822.0</v>
      </c>
      <c r="D78" s="5" t="s">
        <v>12</v>
      </c>
      <c r="E78" s="5">
        <v>58.3</v>
      </c>
      <c r="F78" s="5">
        <v>98.4</v>
      </c>
      <c r="G78" s="5">
        <f t="shared" si="1"/>
        <v>40.1</v>
      </c>
      <c r="H78" s="5">
        <f t="shared" si="2"/>
        <v>8.02</v>
      </c>
      <c r="I78" s="6" t="s">
        <v>26</v>
      </c>
      <c r="J78" s="6" t="s">
        <v>27</v>
      </c>
      <c r="K78" s="5" t="s">
        <v>23</v>
      </c>
    </row>
    <row r="79" ht="15.75" customHeight="1">
      <c r="A79" s="3" t="s">
        <v>39</v>
      </c>
      <c r="B79" s="4">
        <v>1078.0</v>
      </c>
      <c r="C79" s="5">
        <v>2877.0</v>
      </c>
      <c r="D79" s="5" t="s">
        <v>16</v>
      </c>
      <c r="E79" s="5">
        <v>11.4</v>
      </c>
      <c r="F79" s="5">
        <v>16.3</v>
      </c>
      <c r="G79" s="5">
        <f t="shared" si="1"/>
        <v>4.9</v>
      </c>
      <c r="H79" s="5">
        <f t="shared" si="2"/>
        <v>1.63</v>
      </c>
      <c r="I79" s="6" t="s">
        <v>17</v>
      </c>
      <c r="J79" s="6" t="s">
        <v>18</v>
      </c>
      <c r="K79" s="5" t="s">
        <v>33</v>
      </c>
    </row>
    <row r="80" ht="15.75" customHeight="1">
      <c r="A80" s="3" t="s">
        <v>40</v>
      </c>
      <c r="B80" s="4">
        <v>1079.0</v>
      </c>
      <c r="C80" s="5">
        <v>2877.0</v>
      </c>
      <c r="D80" s="5" t="s">
        <v>16</v>
      </c>
      <c r="E80" s="5">
        <v>11.4</v>
      </c>
      <c r="F80" s="5">
        <v>16.3</v>
      </c>
      <c r="G80" s="5">
        <f t="shared" si="1"/>
        <v>4.9</v>
      </c>
      <c r="H80" s="5">
        <f t="shared" si="2"/>
        <v>1.63</v>
      </c>
      <c r="I80" s="6" t="s">
        <v>17</v>
      </c>
      <c r="J80" s="6" t="s">
        <v>18</v>
      </c>
      <c r="K80" s="5" t="s">
        <v>15</v>
      </c>
    </row>
    <row r="81" ht="15.75" customHeight="1">
      <c r="A81" s="3" t="s">
        <v>40</v>
      </c>
      <c r="B81" s="4">
        <v>1080.0</v>
      </c>
      <c r="C81" s="5">
        <v>4421.0</v>
      </c>
      <c r="D81" s="5" t="s">
        <v>29</v>
      </c>
      <c r="E81" s="5">
        <v>45.0</v>
      </c>
      <c r="F81" s="5">
        <v>87.0</v>
      </c>
      <c r="G81" s="5">
        <f t="shared" si="1"/>
        <v>42</v>
      </c>
      <c r="H81" s="5">
        <f t="shared" si="2"/>
        <v>8.4</v>
      </c>
      <c r="I81" s="6" t="s">
        <v>21</v>
      </c>
      <c r="J81" s="6" t="s">
        <v>22</v>
      </c>
      <c r="K81" s="5" t="s">
        <v>19</v>
      </c>
    </row>
    <row r="82" ht="15.75" customHeight="1">
      <c r="A82" s="3" t="s">
        <v>40</v>
      </c>
      <c r="B82" s="4">
        <v>1081.0</v>
      </c>
      <c r="C82" s="5">
        <v>6119.0</v>
      </c>
      <c r="D82" s="5" t="s">
        <v>35</v>
      </c>
      <c r="E82" s="5">
        <v>9.0</v>
      </c>
      <c r="F82" s="5">
        <v>14.0</v>
      </c>
      <c r="G82" s="5">
        <f t="shared" si="1"/>
        <v>5</v>
      </c>
      <c r="H82" s="5">
        <f t="shared" si="2"/>
        <v>1.4</v>
      </c>
      <c r="I82" s="6" t="s">
        <v>21</v>
      </c>
      <c r="J82" s="6" t="s">
        <v>22</v>
      </c>
      <c r="K82" s="5" t="s">
        <v>34</v>
      </c>
    </row>
    <row r="83" ht="15.75" customHeight="1">
      <c r="A83" s="3" t="s">
        <v>40</v>
      </c>
      <c r="B83" s="4">
        <v>1082.0</v>
      </c>
      <c r="C83" s="5">
        <v>1109.0</v>
      </c>
      <c r="D83" s="5" t="s">
        <v>25</v>
      </c>
      <c r="E83" s="5">
        <v>3.0</v>
      </c>
      <c r="F83" s="5">
        <v>8.0</v>
      </c>
      <c r="G83" s="5">
        <f t="shared" si="1"/>
        <v>5</v>
      </c>
      <c r="H83" s="5">
        <f t="shared" si="2"/>
        <v>0.8</v>
      </c>
      <c r="I83" s="6" t="s">
        <v>13</v>
      </c>
      <c r="J83" s="6" t="s">
        <v>14</v>
      </c>
      <c r="K83" s="5" t="s">
        <v>19</v>
      </c>
    </row>
    <row r="84" ht="15.75" customHeight="1">
      <c r="A84" s="3" t="s">
        <v>40</v>
      </c>
      <c r="B84" s="4">
        <v>1083.0</v>
      </c>
      <c r="C84" s="5">
        <v>1109.0</v>
      </c>
      <c r="D84" s="5" t="s">
        <v>25</v>
      </c>
      <c r="E84" s="5">
        <v>3.0</v>
      </c>
      <c r="F84" s="5">
        <v>8.0</v>
      </c>
      <c r="G84" s="5">
        <f t="shared" si="1"/>
        <v>5</v>
      </c>
      <c r="H84" s="5">
        <f t="shared" si="2"/>
        <v>0.8</v>
      </c>
      <c r="I84" s="6" t="s">
        <v>13</v>
      </c>
      <c r="J84" s="6" t="s">
        <v>14</v>
      </c>
      <c r="K84" s="5" t="s">
        <v>33</v>
      </c>
    </row>
    <row r="85" ht="15.75" customHeight="1">
      <c r="A85" s="3" t="s">
        <v>40</v>
      </c>
      <c r="B85" s="4">
        <v>1084.0</v>
      </c>
      <c r="C85" s="5">
        <v>6119.0</v>
      </c>
      <c r="D85" s="5" t="s">
        <v>35</v>
      </c>
      <c r="E85" s="5">
        <v>9.0</v>
      </c>
      <c r="F85" s="5">
        <v>14.0</v>
      </c>
      <c r="G85" s="5">
        <f t="shared" si="1"/>
        <v>5</v>
      </c>
      <c r="H85" s="5">
        <f t="shared" si="2"/>
        <v>1.4</v>
      </c>
      <c r="I85" s="6" t="s">
        <v>13</v>
      </c>
      <c r="J85" s="6" t="s">
        <v>14</v>
      </c>
      <c r="K85" s="5" t="s">
        <v>23</v>
      </c>
    </row>
    <row r="86" ht="15.75" customHeight="1">
      <c r="A86" s="3" t="s">
        <v>40</v>
      </c>
      <c r="B86" s="4">
        <v>1085.0</v>
      </c>
      <c r="C86" s="5">
        <v>9822.0</v>
      </c>
      <c r="D86" s="5" t="s">
        <v>12</v>
      </c>
      <c r="E86" s="5">
        <v>58.3</v>
      </c>
      <c r="F86" s="5">
        <v>98.4</v>
      </c>
      <c r="G86" s="5">
        <f t="shared" si="1"/>
        <v>40.1</v>
      </c>
      <c r="H86" s="5">
        <f t="shared" si="2"/>
        <v>8.02</v>
      </c>
      <c r="I86" s="6" t="s">
        <v>21</v>
      </c>
      <c r="J86" s="6" t="s">
        <v>22</v>
      </c>
      <c r="K86" s="5" t="s">
        <v>33</v>
      </c>
    </row>
    <row r="87" ht="15.75" customHeight="1">
      <c r="A87" s="3" t="s">
        <v>40</v>
      </c>
      <c r="B87" s="4">
        <v>1086.0</v>
      </c>
      <c r="C87" s="5">
        <v>1109.0</v>
      </c>
      <c r="D87" s="5" t="s">
        <v>25</v>
      </c>
      <c r="E87" s="5">
        <v>3.0</v>
      </c>
      <c r="F87" s="5">
        <v>8.0</v>
      </c>
      <c r="G87" s="5">
        <f t="shared" si="1"/>
        <v>5</v>
      </c>
      <c r="H87" s="5">
        <f t="shared" si="2"/>
        <v>0.8</v>
      </c>
      <c r="I87" s="6" t="s">
        <v>26</v>
      </c>
      <c r="J87" s="6" t="s">
        <v>27</v>
      </c>
      <c r="K87" s="5" t="s">
        <v>23</v>
      </c>
    </row>
    <row r="88" ht="15.75" customHeight="1">
      <c r="A88" s="3" t="s">
        <v>40</v>
      </c>
      <c r="B88" s="4">
        <v>1087.0</v>
      </c>
      <c r="C88" s="5">
        <v>2499.0</v>
      </c>
      <c r="D88" s="5" t="s">
        <v>20</v>
      </c>
      <c r="E88" s="5">
        <v>6.2</v>
      </c>
      <c r="F88" s="5">
        <v>9.2</v>
      </c>
      <c r="G88" s="5">
        <f t="shared" si="1"/>
        <v>3</v>
      </c>
      <c r="H88" s="5">
        <f t="shared" si="2"/>
        <v>0.92</v>
      </c>
      <c r="I88" s="6" t="s">
        <v>13</v>
      </c>
      <c r="J88" s="6" t="s">
        <v>14</v>
      </c>
      <c r="K88" s="5" t="s">
        <v>19</v>
      </c>
    </row>
    <row r="89" ht="15.75" customHeight="1">
      <c r="A89" s="3" t="s">
        <v>40</v>
      </c>
      <c r="B89" s="4">
        <v>1088.0</v>
      </c>
      <c r="C89" s="5">
        <v>2499.0</v>
      </c>
      <c r="D89" s="5" t="s">
        <v>20</v>
      </c>
      <c r="E89" s="5">
        <v>6.2</v>
      </c>
      <c r="F89" s="5">
        <v>9.2</v>
      </c>
      <c r="G89" s="5">
        <f t="shared" si="1"/>
        <v>3</v>
      </c>
      <c r="H89" s="5">
        <f t="shared" si="2"/>
        <v>0.92</v>
      </c>
      <c r="I89" s="6" t="s">
        <v>13</v>
      </c>
      <c r="J89" s="6" t="s">
        <v>14</v>
      </c>
      <c r="K89" s="5" t="s">
        <v>15</v>
      </c>
    </row>
    <row r="90" ht="15.75" customHeight="1">
      <c r="A90" s="3" t="s">
        <v>40</v>
      </c>
      <c r="B90" s="4">
        <v>1089.0</v>
      </c>
      <c r="C90" s="5">
        <v>6119.0</v>
      </c>
      <c r="D90" s="5" t="s">
        <v>35</v>
      </c>
      <c r="E90" s="5">
        <v>9.0</v>
      </c>
      <c r="F90" s="5">
        <v>14.0</v>
      </c>
      <c r="G90" s="5">
        <f t="shared" si="1"/>
        <v>5</v>
      </c>
      <c r="H90" s="5">
        <f t="shared" si="2"/>
        <v>1.4</v>
      </c>
      <c r="I90" s="6" t="s">
        <v>21</v>
      </c>
      <c r="J90" s="6" t="s">
        <v>22</v>
      </c>
      <c r="K90" s="5" t="s">
        <v>33</v>
      </c>
    </row>
    <row r="91" ht="15.75" customHeight="1">
      <c r="A91" s="3" t="s">
        <v>40</v>
      </c>
      <c r="B91" s="4">
        <v>1090.0</v>
      </c>
      <c r="C91" s="5">
        <v>2877.0</v>
      </c>
      <c r="D91" s="5" t="s">
        <v>16</v>
      </c>
      <c r="E91" s="5">
        <v>11.4</v>
      </c>
      <c r="F91" s="5">
        <v>16.3</v>
      </c>
      <c r="G91" s="5">
        <f t="shared" si="1"/>
        <v>4.9</v>
      </c>
      <c r="H91" s="5">
        <f t="shared" si="2"/>
        <v>1.63</v>
      </c>
      <c r="I91" s="6" t="s">
        <v>13</v>
      </c>
      <c r="J91" s="6" t="s">
        <v>14</v>
      </c>
      <c r="K91" s="5" t="s">
        <v>19</v>
      </c>
    </row>
    <row r="92" ht="15.75" customHeight="1">
      <c r="A92" s="3" t="s">
        <v>40</v>
      </c>
      <c r="B92" s="4">
        <v>1091.0</v>
      </c>
      <c r="C92" s="5">
        <v>2877.0</v>
      </c>
      <c r="D92" s="5" t="s">
        <v>16</v>
      </c>
      <c r="E92" s="5">
        <v>11.4</v>
      </c>
      <c r="F92" s="5">
        <v>16.3</v>
      </c>
      <c r="G92" s="5">
        <f t="shared" si="1"/>
        <v>4.9</v>
      </c>
      <c r="H92" s="5">
        <f t="shared" si="2"/>
        <v>1.63</v>
      </c>
      <c r="I92" s="6" t="s">
        <v>26</v>
      </c>
      <c r="J92" s="6" t="s">
        <v>27</v>
      </c>
      <c r="K92" s="5" t="s">
        <v>33</v>
      </c>
    </row>
    <row r="93" ht="15.75" customHeight="1">
      <c r="A93" s="3" t="s">
        <v>40</v>
      </c>
      <c r="B93" s="4">
        <v>1092.0</v>
      </c>
      <c r="C93" s="5">
        <v>2877.0</v>
      </c>
      <c r="D93" s="5" t="s">
        <v>16</v>
      </c>
      <c r="E93" s="5">
        <v>11.4</v>
      </c>
      <c r="F93" s="5">
        <v>16.3</v>
      </c>
      <c r="G93" s="5">
        <f t="shared" si="1"/>
        <v>4.9</v>
      </c>
      <c r="H93" s="5">
        <f t="shared" si="2"/>
        <v>1.63</v>
      </c>
      <c r="I93" s="6" t="s">
        <v>21</v>
      </c>
      <c r="J93" s="6" t="s">
        <v>22</v>
      </c>
      <c r="K93" s="5" t="s">
        <v>19</v>
      </c>
    </row>
    <row r="94" ht="15.75" customHeight="1">
      <c r="A94" s="3" t="s">
        <v>40</v>
      </c>
      <c r="B94" s="4">
        <v>1093.0</v>
      </c>
      <c r="C94" s="5">
        <v>6119.0</v>
      </c>
      <c r="D94" s="5" t="s">
        <v>35</v>
      </c>
      <c r="E94" s="5">
        <v>9.0</v>
      </c>
      <c r="F94" s="5">
        <v>14.0</v>
      </c>
      <c r="G94" s="5">
        <f t="shared" si="1"/>
        <v>5</v>
      </c>
      <c r="H94" s="5">
        <f t="shared" si="2"/>
        <v>1.4</v>
      </c>
      <c r="I94" s="6" t="s">
        <v>17</v>
      </c>
      <c r="J94" s="6" t="s">
        <v>18</v>
      </c>
      <c r="K94" s="5" t="s">
        <v>23</v>
      </c>
    </row>
    <row r="95" ht="15.75" customHeight="1">
      <c r="A95" s="3" t="s">
        <v>40</v>
      </c>
      <c r="B95" s="4">
        <v>1094.0</v>
      </c>
      <c r="C95" s="5">
        <v>6119.0</v>
      </c>
      <c r="D95" s="5" t="s">
        <v>35</v>
      </c>
      <c r="E95" s="5">
        <v>9.0</v>
      </c>
      <c r="F95" s="5">
        <v>14.0</v>
      </c>
      <c r="G95" s="5">
        <f t="shared" si="1"/>
        <v>5</v>
      </c>
      <c r="H95" s="5">
        <f t="shared" si="2"/>
        <v>1.4</v>
      </c>
      <c r="I95" s="6" t="s">
        <v>21</v>
      </c>
      <c r="J95" s="6" t="s">
        <v>22</v>
      </c>
      <c r="K95" s="5" t="s">
        <v>19</v>
      </c>
    </row>
    <row r="96" ht="15.75" customHeight="1">
      <c r="A96" s="3" t="s">
        <v>40</v>
      </c>
      <c r="B96" s="4">
        <v>1095.0</v>
      </c>
      <c r="C96" s="5">
        <v>2499.0</v>
      </c>
      <c r="D96" s="5" t="s">
        <v>20</v>
      </c>
      <c r="E96" s="5">
        <v>6.2</v>
      </c>
      <c r="F96" s="5">
        <v>9.2</v>
      </c>
      <c r="G96" s="5">
        <f t="shared" si="1"/>
        <v>3</v>
      </c>
      <c r="H96" s="5">
        <f t="shared" si="2"/>
        <v>0.92</v>
      </c>
      <c r="I96" s="6" t="s">
        <v>26</v>
      </c>
      <c r="J96" s="6" t="s">
        <v>27</v>
      </c>
      <c r="K96" s="5" t="s">
        <v>23</v>
      </c>
    </row>
    <row r="97" ht="15.75" customHeight="1">
      <c r="A97" s="3" t="s">
        <v>40</v>
      </c>
      <c r="B97" s="4">
        <v>1096.0</v>
      </c>
      <c r="C97" s="5">
        <v>6119.0</v>
      </c>
      <c r="D97" s="5" t="s">
        <v>35</v>
      </c>
      <c r="E97" s="5">
        <v>9.0</v>
      </c>
      <c r="F97" s="5">
        <v>14.0</v>
      </c>
      <c r="G97" s="5">
        <f t="shared" si="1"/>
        <v>5</v>
      </c>
      <c r="H97" s="5">
        <f t="shared" si="2"/>
        <v>1.4</v>
      </c>
      <c r="I97" s="6" t="s">
        <v>21</v>
      </c>
      <c r="J97" s="6" t="s">
        <v>22</v>
      </c>
      <c r="K97" s="5" t="s">
        <v>23</v>
      </c>
    </row>
    <row r="98" ht="15.75" customHeight="1">
      <c r="A98" s="3" t="s">
        <v>40</v>
      </c>
      <c r="B98" s="4">
        <v>1097.0</v>
      </c>
      <c r="C98" s="5">
        <v>9212.0</v>
      </c>
      <c r="D98" s="5" t="s">
        <v>30</v>
      </c>
      <c r="E98" s="5">
        <v>4.0</v>
      </c>
      <c r="F98" s="5">
        <v>7.0</v>
      </c>
      <c r="G98" s="5">
        <f t="shared" si="1"/>
        <v>3</v>
      </c>
      <c r="H98" s="5">
        <f t="shared" si="2"/>
        <v>0.7</v>
      </c>
      <c r="I98" s="6" t="s">
        <v>26</v>
      </c>
      <c r="J98" s="6" t="s">
        <v>27</v>
      </c>
      <c r="K98" s="5" t="s">
        <v>33</v>
      </c>
    </row>
    <row r="99" ht="15.75" customHeight="1">
      <c r="A99" s="3" t="s">
        <v>40</v>
      </c>
      <c r="B99" s="4">
        <v>1098.0</v>
      </c>
      <c r="C99" s="5">
        <v>2877.0</v>
      </c>
      <c r="D99" s="5" t="s">
        <v>16</v>
      </c>
      <c r="E99" s="5">
        <v>11.4</v>
      </c>
      <c r="F99" s="5">
        <v>16.3</v>
      </c>
      <c r="G99" s="5">
        <f t="shared" si="1"/>
        <v>4.9</v>
      </c>
      <c r="H99" s="5">
        <f t="shared" si="2"/>
        <v>1.63</v>
      </c>
      <c r="I99" s="6" t="s">
        <v>17</v>
      </c>
      <c r="J99" s="6" t="s">
        <v>18</v>
      </c>
      <c r="K99" s="5" t="s">
        <v>15</v>
      </c>
    </row>
    <row r="100" ht="15.75" customHeight="1">
      <c r="A100" s="3" t="s">
        <v>41</v>
      </c>
      <c r="B100" s="4">
        <v>1099.0</v>
      </c>
      <c r="C100" s="5">
        <v>2877.0</v>
      </c>
      <c r="D100" s="5" t="s">
        <v>16</v>
      </c>
      <c r="E100" s="5">
        <v>11.4</v>
      </c>
      <c r="F100" s="5">
        <v>16.3</v>
      </c>
      <c r="G100" s="5">
        <f t="shared" si="1"/>
        <v>4.9</v>
      </c>
      <c r="H100" s="5">
        <f t="shared" si="2"/>
        <v>1.63</v>
      </c>
      <c r="I100" s="6" t="s">
        <v>21</v>
      </c>
      <c r="J100" s="6" t="s">
        <v>22</v>
      </c>
      <c r="K100" s="5" t="s">
        <v>19</v>
      </c>
    </row>
    <row r="101" ht="15.75" customHeight="1">
      <c r="A101" s="3" t="s">
        <v>41</v>
      </c>
      <c r="B101" s="4">
        <v>1100.0</v>
      </c>
      <c r="C101" s="5">
        <v>6119.0</v>
      </c>
      <c r="D101" s="5" t="s">
        <v>35</v>
      </c>
      <c r="E101" s="5">
        <v>9.0</v>
      </c>
      <c r="F101" s="5">
        <v>14.0</v>
      </c>
      <c r="G101" s="5">
        <f t="shared" si="1"/>
        <v>5</v>
      </c>
      <c r="H101" s="5">
        <f t="shared" si="2"/>
        <v>1.4</v>
      </c>
      <c r="I101" s="6" t="s">
        <v>13</v>
      </c>
      <c r="J101" s="6" t="s">
        <v>14</v>
      </c>
      <c r="K101" s="5" t="s">
        <v>34</v>
      </c>
    </row>
    <row r="102" ht="15.75" customHeight="1">
      <c r="A102" s="3" t="s">
        <v>41</v>
      </c>
      <c r="B102" s="4">
        <v>1101.0</v>
      </c>
      <c r="C102" s="5">
        <v>2499.0</v>
      </c>
      <c r="D102" s="5" t="s">
        <v>20</v>
      </c>
      <c r="E102" s="5">
        <v>6.2</v>
      </c>
      <c r="F102" s="5">
        <v>9.2</v>
      </c>
      <c r="G102" s="5">
        <f t="shared" si="1"/>
        <v>3</v>
      </c>
      <c r="H102" s="5">
        <f t="shared" si="2"/>
        <v>0.92</v>
      </c>
      <c r="I102" s="6" t="s">
        <v>21</v>
      </c>
      <c r="J102" s="6" t="s">
        <v>22</v>
      </c>
      <c r="K102" s="5" t="s">
        <v>19</v>
      </c>
    </row>
    <row r="103" ht="15.75" customHeight="1">
      <c r="A103" s="3" t="s">
        <v>41</v>
      </c>
      <c r="B103" s="4">
        <v>1102.0</v>
      </c>
      <c r="C103" s="5">
        <v>2242.0</v>
      </c>
      <c r="D103" s="5" t="s">
        <v>32</v>
      </c>
      <c r="E103" s="5">
        <v>60.0</v>
      </c>
      <c r="F103" s="5">
        <v>124.0</v>
      </c>
      <c r="G103" s="5">
        <f t="shared" si="1"/>
        <v>64</v>
      </c>
      <c r="H103" s="5">
        <f t="shared" si="2"/>
        <v>12.8</v>
      </c>
      <c r="I103" s="6" t="s">
        <v>17</v>
      </c>
      <c r="J103" s="6" t="s">
        <v>18</v>
      </c>
      <c r="K103" s="5" t="s">
        <v>33</v>
      </c>
    </row>
    <row r="104" ht="15.75" customHeight="1">
      <c r="A104" s="3" t="s">
        <v>41</v>
      </c>
      <c r="B104" s="4">
        <v>1103.0</v>
      </c>
      <c r="C104" s="5">
        <v>2877.0</v>
      </c>
      <c r="D104" s="5" t="s">
        <v>16</v>
      </c>
      <c r="E104" s="5">
        <v>11.4</v>
      </c>
      <c r="F104" s="5">
        <v>16.3</v>
      </c>
      <c r="G104" s="5">
        <f t="shared" si="1"/>
        <v>4.9</v>
      </c>
      <c r="H104" s="5">
        <f t="shared" si="2"/>
        <v>1.63</v>
      </c>
      <c r="I104" s="6" t="s">
        <v>17</v>
      </c>
      <c r="J104" s="6" t="s">
        <v>18</v>
      </c>
      <c r="K104" s="5" t="s">
        <v>23</v>
      </c>
    </row>
    <row r="105" ht="15.75" customHeight="1">
      <c r="A105" s="3" t="s">
        <v>41</v>
      </c>
      <c r="B105" s="4">
        <v>1104.0</v>
      </c>
      <c r="C105" s="5">
        <v>2877.0</v>
      </c>
      <c r="D105" s="5" t="s">
        <v>16</v>
      </c>
      <c r="E105" s="5">
        <v>11.4</v>
      </c>
      <c r="F105" s="5">
        <v>16.3</v>
      </c>
      <c r="G105" s="5">
        <f t="shared" si="1"/>
        <v>4.9</v>
      </c>
      <c r="H105" s="5">
        <f t="shared" si="2"/>
        <v>1.63</v>
      </c>
      <c r="I105" s="6" t="s">
        <v>21</v>
      </c>
      <c r="J105" s="6" t="s">
        <v>22</v>
      </c>
      <c r="K105" s="5" t="s">
        <v>33</v>
      </c>
    </row>
    <row r="106" ht="15.75" customHeight="1">
      <c r="A106" s="3" t="s">
        <v>41</v>
      </c>
      <c r="B106" s="4">
        <v>1105.0</v>
      </c>
      <c r="C106" s="5">
        <v>2499.0</v>
      </c>
      <c r="D106" s="5" t="s">
        <v>20</v>
      </c>
      <c r="E106" s="5">
        <v>6.2</v>
      </c>
      <c r="F106" s="5">
        <v>9.2</v>
      </c>
      <c r="G106" s="5">
        <f t="shared" si="1"/>
        <v>3</v>
      </c>
      <c r="H106" s="5">
        <f t="shared" si="2"/>
        <v>0.92</v>
      </c>
      <c r="I106" s="6" t="s">
        <v>17</v>
      </c>
      <c r="J106" s="6" t="s">
        <v>18</v>
      </c>
      <c r="K106" s="5" t="s">
        <v>23</v>
      </c>
    </row>
    <row r="107" ht="15.75" customHeight="1">
      <c r="A107" s="3" t="s">
        <v>41</v>
      </c>
      <c r="B107" s="4">
        <v>1106.0</v>
      </c>
      <c r="C107" s="5">
        <v>9822.0</v>
      </c>
      <c r="D107" s="5" t="s">
        <v>12</v>
      </c>
      <c r="E107" s="5">
        <v>58.3</v>
      </c>
      <c r="F107" s="5">
        <v>98.4</v>
      </c>
      <c r="G107" s="5">
        <f t="shared" si="1"/>
        <v>40.1</v>
      </c>
      <c r="H107" s="5">
        <f t="shared" si="2"/>
        <v>8.02</v>
      </c>
      <c r="I107" s="6" t="s">
        <v>17</v>
      </c>
      <c r="J107" s="6" t="s">
        <v>18</v>
      </c>
      <c r="K107" s="5" t="s">
        <v>19</v>
      </c>
    </row>
    <row r="108" ht="15.75" customHeight="1">
      <c r="A108" s="3" t="s">
        <v>41</v>
      </c>
      <c r="B108" s="4">
        <v>1107.0</v>
      </c>
      <c r="C108" s="5">
        <v>1109.0</v>
      </c>
      <c r="D108" s="5" t="s">
        <v>25</v>
      </c>
      <c r="E108" s="5">
        <v>3.0</v>
      </c>
      <c r="F108" s="5">
        <v>8.0</v>
      </c>
      <c r="G108" s="5">
        <f t="shared" si="1"/>
        <v>5</v>
      </c>
      <c r="H108" s="5">
        <f t="shared" si="2"/>
        <v>0.8</v>
      </c>
      <c r="I108" s="6" t="s">
        <v>26</v>
      </c>
      <c r="J108" s="6" t="s">
        <v>27</v>
      </c>
      <c r="K108" s="5" t="s">
        <v>15</v>
      </c>
    </row>
    <row r="109" ht="15.75" customHeight="1">
      <c r="A109" s="3" t="s">
        <v>41</v>
      </c>
      <c r="B109" s="4">
        <v>1108.0</v>
      </c>
      <c r="C109" s="5">
        <v>9822.0</v>
      </c>
      <c r="D109" s="5" t="s">
        <v>12</v>
      </c>
      <c r="E109" s="5">
        <v>58.3</v>
      </c>
      <c r="F109" s="5">
        <v>98.4</v>
      </c>
      <c r="G109" s="5">
        <f t="shared" si="1"/>
        <v>40.1</v>
      </c>
      <c r="H109" s="5">
        <f t="shared" si="2"/>
        <v>8.02</v>
      </c>
      <c r="I109" s="6" t="s">
        <v>21</v>
      </c>
      <c r="J109" s="6" t="s">
        <v>22</v>
      </c>
      <c r="K109" s="5" t="s">
        <v>33</v>
      </c>
    </row>
    <row r="110" ht="15.75" customHeight="1">
      <c r="A110" s="3" t="s">
        <v>41</v>
      </c>
      <c r="B110" s="4">
        <v>1109.0</v>
      </c>
      <c r="C110" s="5">
        <v>8722.0</v>
      </c>
      <c r="D110" s="5" t="s">
        <v>24</v>
      </c>
      <c r="E110" s="5">
        <v>344.0</v>
      </c>
      <c r="F110" s="5">
        <v>502.0</v>
      </c>
      <c r="G110" s="5">
        <f t="shared" si="1"/>
        <v>158</v>
      </c>
      <c r="H110" s="5">
        <f t="shared" si="2"/>
        <v>31.6</v>
      </c>
      <c r="I110" s="6" t="s">
        <v>17</v>
      </c>
      <c r="J110" s="6" t="s">
        <v>18</v>
      </c>
      <c r="K110" s="5" t="s">
        <v>19</v>
      </c>
    </row>
    <row r="111" ht="15.75" customHeight="1">
      <c r="A111" s="3" t="s">
        <v>41</v>
      </c>
      <c r="B111" s="4">
        <v>1110.0</v>
      </c>
      <c r="C111" s="5">
        <v>8722.0</v>
      </c>
      <c r="D111" s="5" t="s">
        <v>24</v>
      </c>
      <c r="E111" s="5">
        <v>344.0</v>
      </c>
      <c r="F111" s="5">
        <v>502.0</v>
      </c>
      <c r="G111" s="5">
        <f t="shared" si="1"/>
        <v>158</v>
      </c>
      <c r="H111" s="5">
        <f t="shared" si="2"/>
        <v>31.6</v>
      </c>
      <c r="I111" s="6" t="s">
        <v>26</v>
      </c>
      <c r="J111" s="6" t="s">
        <v>27</v>
      </c>
      <c r="K111" s="5" t="s">
        <v>33</v>
      </c>
    </row>
    <row r="112" ht="15.75" customHeight="1">
      <c r="A112" s="3" t="s">
        <v>41</v>
      </c>
      <c r="B112" s="4">
        <v>1111.0</v>
      </c>
      <c r="C112" s="5">
        <v>6622.0</v>
      </c>
      <c r="D112" s="5" t="s">
        <v>37</v>
      </c>
      <c r="E112" s="5">
        <v>42.0</v>
      </c>
      <c r="F112" s="5">
        <v>77.0</v>
      </c>
      <c r="G112" s="5">
        <f t="shared" si="1"/>
        <v>35</v>
      </c>
      <c r="H112" s="5">
        <f t="shared" si="2"/>
        <v>7</v>
      </c>
      <c r="I112" s="6" t="s">
        <v>26</v>
      </c>
      <c r="J112" s="6" t="s">
        <v>27</v>
      </c>
      <c r="K112" s="5" t="s">
        <v>19</v>
      </c>
    </row>
    <row r="113" ht="15.75" customHeight="1">
      <c r="A113" s="3" t="s">
        <v>41</v>
      </c>
      <c r="B113" s="4">
        <v>1112.0</v>
      </c>
      <c r="C113" s="5">
        <v>6622.0</v>
      </c>
      <c r="D113" s="5" t="s">
        <v>37</v>
      </c>
      <c r="E113" s="5">
        <v>42.0</v>
      </c>
      <c r="F113" s="5">
        <v>77.0</v>
      </c>
      <c r="G113" s="5">
        <f t="shared" si="1"/>
        <v>35</v>
      </c>
      <c r="H113" s="5">
        <f t="shared" si="2"/>
        <v>7</v>
      </c>
      <c r="I113" s="6" t="s">
        <v>21</v>
      </c>
      <c r="J113" s="6" t="s">
        <v>22</v>
      </c>
      <c r="K113" s="5" t="s">
        <v>23</v>
      </c>
    </row>
    <row r="114" ht="15.75" customHeight="1">
      <c r="A114" s="3" t="s">
        <v>41</v>
      </c>
      <c r="B114" s="4">
        <v>1113.0</v>
      </c>
      <c r="C114" s="5">
        <v>9822.0</v>
      </c>
      <c r="D114" s="5" t="s">
        <v>12</v>
      </c>
      <c r="E114" s="5">
        <v>58.3</v>
      </c>
      <c r="F114" s="5">
        <v>98.4</v>
      </c>
      <c r="G114" s="5">
        <f t="shared" si="1"/>
        <v>40.1</v>
      </c>
      <c r="H114" s="5">
        <f t="shared" si="2"/>
        <v>8.02</v>
      </c>
      <c r="I114" s="6" t="s">
        <v>13</v>
      </c>
      <c r="J114" s="6" t="s">
        <v>14</v>
      </c>
      <c r="K114" s="5" t="s">
        <v>19</v>
      </c>
    </row>
    <row r="115" ht="15.75" customHeight="1">
      <c r="A115" s="3" t="s">
        <v>41</v>
      </c>
      <c r="B115" s="4">
        <v>1114.0</v>
      </c>
      <c r="C115" s="5">
        <v>2242.0</v>
      </c>
      <c r="D115" s="5" t="s">
        <v>32</v>
      </c>
      <c r="E115" s="5">
        <v>60.0</v>
      </c>
      <c r="F115" s="5">
        <v>124.0</v>
      </c>
      <c r="G115" s="5">
        <f t="shared" si="1"/>
        <v>64</v>
      </c>
      <c r="H115" s="5">
        <f t="shared" si="2"/>
        <v>12.8</v>
      </c>
      <c r="I115" s="6" t="s">
        <v>17</v>
      </c>
      <c r="J115" s="6" t="s">
        <v>18</v>
      </c>
      <c r="K115" s="5" t="s">
        <v>23</v>
      </c>
    </row>
    <row r="116" ht="15.75" customHeight="1">
      <c r="A116" s="3" t="s">
        <v>41</v>
      </c>
      <c r="B116" s="4">
        <v>1115.0</v>
      </c>
      <c r="C116" s="5">
        <v>8722.0</v>
      </c>
      <c r="D116" s="5" t="s">
        <v>24</v>
      </c>
      <c r="E116" s="5">
        <v>344.0</v>
      </c>
      <c r="F116" s="5">
        <v>502.0</v>
      </c>
      <c r="G116" s="5">
        <f t="shared" si="1"/>
        <v>158</v>
      </c>
      <c r="H116" s="5">
        <f t="shared" si="2"/>
        <v>31.6</v>
      </c>
      <c r="I116" s="6" t="s">
        <v>13</v>
      </c>
      <c r="J116" s="6" t="s">
        <v>14</v>
      </c>
      <c r="K116" s="5" t="s">
        <v>23</v>
      </c>
    </row>
    <row r="117" ht="15.75" customHeight="1">
      <c r="A117" s="3" t="s">
        <v>41</v>
      </c>
      <c r="B117" s="4">
        <v>1116.0</v>
      </c>
      <c r="C117" s="5">
        <v>6622.0</v>
      </c>
      <c r="D117" s="5" t="s">
        <v>37</v>
      </c>
      <c r="E117" s="5">
        <v>42.0</v>
      </c>
      <c r="F117" s="5">
        <v>77.0</v>
      </c>
      <c r="G117" s="5">
        <f t="shared" si="1"/>
        <v>35</v>
      </c>
      <c r="H117" s="5">
        <f t="shared" si="2"/>
        <v>7</v>
      </c>
      <c r="I117" s="6" t="s">
        <v>21</v>
      </c>
      <c r="J117" s="6" t="s">
        <v>22</v>
      </c>
      <c r="K117" s="5" t="s">
        <v>33</v>
      </c>
    </row>
    <row r="118" ht="15.75" customHeight="1">
      <c r="A118" s="3" t="s">
        <v>41</v>
      </c>
      <c r="B118" s="4">
        <v>1117.0</v>
      </c>
      <c r="C118" s="5">
        <v>8722.0</v>
      </c>
      <c r="D118" s="5" t="s">
        <v>24</v>
      </c>
      <c r="E118" s="5">
        <v>344.0</v>
      </c>
      <c r="F118" s="5">
        <v>502.0</v>
      </c>
      <c r="G118" s="5">
        <f t="shared" si="1"/>
        <v>158</v>
      </c>
      <c r="H118" s="5">
        <f t="shared" si="2"/>
        <v>31.6</v>
      </c>
      <c r="I118" s="6" t="s">
        <v>26</v>
      </c>
      <c r="J118" s="6" t="s">
        <v>27</v>
      </c>
      <c r="K118" s="5" t="s">
        <v>15</v>
      </c>
    </row>
    <row r="119" ht="15.75" customHeight="1">
      <c r="A119" s="3" t="s">
        <v>41</v>
      </c>
      <c r="B119" s="4">
        <v>1118.0</v>
      </c>
      <c r="C119" s="5">
        <v>9822.0</v>
      </c>
      <c r="D119" s="5" t="s">
        <v>12</v>
      </c>
      <c r="E119" s="5">
        <v>58.3</v>
      </c>
      <c r="F119" s="5">
        <v>98.4</v>
      </c>
      <c r="G119" s="5">
        <f t="shared" si="1"/>
        <v>40.1</v>
      </c>
      <c r="H119" s="5">
        <f t="shared" si="2"/>
        <v>8.02</v>
      </c>
      <c r="I119" s="6" t="s">
        <v>17</v>
      </c>
      <c r="J119" s="6" t="s">
        <v>18</v>
      </c>
      <c r="K119" s="5" t="s">
        <v>19</v>
      </c>
    </row>
    <row r="120" ht="15.75" customHeight="1">
      <c r="A120" s="3" t="s">
        <v>41</v>
      </c>
      <c r="B120" s="4">
        <v>1119.0</v>
      </c>
      <c r="C120" s="5">
        <v>2242.0</v>
      </c>
      <c r="D120" s="5" t="s">
        <v>32</v>
      </c>
      <c r="E120" s="5">
        <v>60.0</v>
      </c>
      <c r="F120" s="5">
        <v>124.0</v>
      </c>
      <c r="G120" s="5">
        <f t="shared" si="1"/>
        <v>64</v>
      </c>
      <c r="H120" s="5">
        <f t="shared" si="2"/>
        <v>12.8</v>
      </c>
      <c r="I120" s="6" t="s">
        <v>13</v>
      </c>
      <c r="J120" s="6" t="s">
        <v>14</v>
      </c>
      <c r="K120" s="5" t="s">
        <v>34</v>
      </c>
    </row>
    <row r="121" ht="15.75" customHeight="1">
      <c r="A121" s="3" t="s">
        <v>41</v>
      </c>
      <c r="B121" s="4">
        <v>1120.0</v>
      </c>
      <c r="C121" s="5">
        <v>2242.0</v>
      </c>
      <c r="D121" s="5" t="s">
        <v>32</v>
      </c>
      <c r="E121" s="5">
        <v>60.0</v>
      </c>
      <c r="F121" s="5">
        <v>124.0</v>
      </c>
      <c r="G121" s="5">
        <f t="shared" si="1"/>
        <v>64</v>
      </c>
      <c r="H121" s="5">
        <f t="shared" si="2"/>
        <v>12.8</v>
      </c>
      <c r="I121" s="6" t="s">
        <v>21</v>
      </c>
      <c r="J121" s="6" t="s">
        <v>22</v>
      </c>
      <c r="K121" s="5" t="s">
        <v>19</v>
      </c>
    </row>
    <row r="122" ht="15.75" customHeight="1">
      <c r="A122" s="3" t="s">
        <v>41</v>
      </c>
      <c r="B122" s="4">
        <v>1121.0</v>
      </c>
      <c r="C122" s="5">
        <v>4421.0</v>
      </c>
      <c r="D122" s="5" t="s">
        <v>29</v>
      </c>
      <c r="E122" s="5">
        <v>45.0</v>
      </c>
      <c r="F122" s="5">
        <v>87.0</v>
      </c>
      <c r="G122" s="5">
        <f t="shared" si="1"/>
        <v>42</v>
      </c>
      <c r="H122" s="5">
        <f t="shared" si="2"/>
        <v>8.4</v>
      </c>
      <c r="I122" s="6" t="s">
        <v>21</v>
      </c>
      <c r="J122" s="6" t="s">
        <v>22</v>
      </c>
      <c r="K122" s="5" t="s">
        <v>33</v>
      </c>
    </row>
    <row r="123" ht="15.75" customHeight="1">
      <c r="A123" s="3" t="s">
        <v>41</v>
      </c>
      <c r="B123" s="4">
        <v>1122.0</v>
      </c>
      <c r="C123" s="5">
        <v>8722.0</v>
      </c>
      <c r="D123" s="5" t="s">
        <v>24</v>
      </c>
      <c r="E123" s="5">
        <v>344.0</v>
      </c>
      <c r="F123" s="5">
        <v>502.0</v>
      </c>
      <c r="G123" s="5">
        <f t="shared" si="1"/>
        <v>158</v>
      </c>
      <c r="H123" s="5">
        <f t="shared" si="2"/>
        <v>31.6</v>
      </c>
      <c r="I123" s="6" t="s">
        <v>21</v>
      </c>
      <c r="J123" s="6" t="s">
        <v>22</v>
      </c>
      <c r="K123" s="5" t="s">
        <v>23</v>
      </c>
    </row>
    <row r="124" ht="15.75" customHeight="1">
      <c r="A124" s="3" t="s">
        <v>41</v>
      </c>
      <c r="B124" s="4">
        <v>1123.0</v>
      </c>
      <c r="C124" s="5">
        <v>9822.0</v>
      </c>
      <c r="D124" s="5" t="s">
        <v>12</v>
      </c>
      <c r="E124" s="5">
        <v>58.3</v>
      </c>
      <c r="F124" s="5">
        <v>98.4</v>
      </c>
      <c r="G124" s="5">
        <f t="shared" si="1"/>
        <v>40.1</v>
      </c>
      <c r="H124" s="5">
        <f t="shared" si="2"/>
        <v>8.02</v>
      </c>
      <c r="I124" s="6" t="s">
        <v>21</v>
      </c>
      <c r="J124" s="6" t="s">
        <v>22</v>
      </c>
      <c r="K124" s="5" t="s">
        <v>33</v>
      </c>
    </row>
    <row r="125" ht="15.75" customHeight="1">
      <c r="A125" s="3" t="s">
        <v>41</v>
      </c>
      <c r="B125" s="4">
        <v>1124.0</v>
      </c>
      <c r="C125" s="5">
        <v>4421.0</v>
      </c>
      <c r="D125" s="5" t="s">
        <v>29</v>
      </c>
      <c r="E125" s="5">
        <v>45.0</v>
      </c>
      <c r="F125" s="5">
        <v>87.0</v>
      </c>
      <c r="G125" s="5">
        <f t="shared" si="1"/>
        <v>42</v>
      </c>
      <c r="H125" s="5">
        <f t="shared" si="2"/>
        <v>8.4</v>
      </c>
      <c r="I125" s="6" t="s">
        <v>21</v>
      </c>
      <c r="J125" s="6" t="s">
        <v>22</v>
      </c>
      <c r="K125" s="5" t="s">
        <v>23</v>
      </c>
    </row>
    <row r="126" ht="15.75" customHeight="1">
      <c r="A126" s="3" t="s">
        <v>42</v>
      </c>
      <c r="B126" s="4">
        <v>1125.0</v>
      </c>
      <c r="C126" s="5">
        <v>2242.0</v>
      </c>
      <c r="D126" s="5" t="s">
        <v>32</v>
      </c>
      <c r="E126" s="5">
        <v>60.0</v>
      </c>
      <c r="F126" s="5">
        <v>124.0</v>
      </c>
      <c r="G126" s="5">
        <f t="shared" si="1"/>
        <v>64</v>
      </c>
      <c r="H126" s="5">
        <f t="shared" si="2"/>
        <v>12.8</v>
      </c>
      <c r="I126" s="6" t="s">
        <v>21</v>
      </c>
      <c r="J126" s="6" t="s">
        <v>22</v>
      </c>
      <c r="K126" s="5" t="s">
        <v>19</v>
      </c>
    </row>
    <row r="127" ht="15.75" customHeight="1">
      <c r="A127" s="3" t="s">
        <v>42</v>
      </c>
      <c r="B127" s="4">
        <v>1126.0</v>
      </c>
      <c r="C127" s="5">
        <v>9212.0</v>
      </c>
      <c r="D127" s="5" t="s">
        <v>30</v>
      </c>
      <c r="E127" s="5">
        <v>4.0</v>
      </c>
      <c r="F127" s="5">
        <v>7.0</v>
      </c>
      <c r="G127" s="5">
        <f t="shared" si="1"/>
        <v>3</v>
      </c>
      <c r="H127" s="5">
        <f t="shared" si="2"/>
        <v>0.7</v>
      </c>
      <c r="I127" s="6" t="s">
        <v>21</v>
      </c>
      <c r="J127" s="6" t="s">
        <v>22</v>
      </c>
      <c r="K127" s="5" t="s">
        <v>15</v>
      </c>
    </row>
    <row r="128" ht="15.75" customHeight="1">
      <c r="A128" s="3" t="s">
        <v>42</v>
      </c>
      <c r="B128" s="4">
        <v>1127.0</v>
      </c>
      <c r="C128" s="5">
        <v>8722.0</v>
      </c>
      <c r="D128" s="5" t="s">
        <v>24</v>
      </c>
      <c r="E128" s="5">
        <v>344.0</v>
      </c>
      <c r="F128" s="5">
        <v>502.0</v>
      </c>
      <c r="G128" s="5">
        <f t="shared" si="1"/>
        <v>158</v>
      </c>
      <c r="H128" s="5">
        <f t="shared" si="2"/>
        <v>31.6</v>
      </c>
      <c r="I128" s="6" t="s">
        <v>13</v>
      </c>
      <c r="J128" s="6" t="s">
        <v>14</v>
      </c>
      <c r="K128" s="5" t="s">
        <v>33</v>
      </c>
    </row>
    <row r="129" ht="15.75" customHeight="1">
      <c r="A129" s="3" t="s">
        <v>42</v>
      </c>
      <c r="B129" s="4">
        <v>1128.0</v>
      </c>
      <c r="C129" s="5">
        <v>6622.0</v>
      </c>
      <c r="D129" s="5" t="s">
        <v>37</v>
      </c>
      <c r="E129" s="5">
        <v>42.0</v>
      </c>
      <c r="F129" s="5">
        <v>77.0</v>
      </c>
      <c r="G129" s="5">
        <f t="shared" si="1"/>
        <v>35</v>
      </c>
      <c r="H129" s="5">
        <f t="shared" si="2"/>
        <v>7</v>
      </c>
      <c r="I129" s="6" t="s">
        <v>17</v>
      </c>
      <c r="J129" s="6" t="s">
        <v>18</v>
      </c>
      <c r="K129" s="5" t="s">
        <v>19</v>
      </c>
    </row>
    <row r="130" ht="15.75" customHeight="1">
      <c r="A130" s="3" t="s">
        <v>42</v>
      </c>
      <c r="B130" s="4">
        <v>1129.0</v>
      </c>
      <c r="C130" s="5">
        <v>9822.0</v>
      </c>
      <c r="D130" s="5" t="s">
        <v>12</v>
      </c>
      <c r="E130" s="5">
        <v>58.3</v>
      </c>
      <c r="F130" s="5">
        <v>98.4</v>
      </c>
      <c r="G130" s="5">
        <f t="shared" si="1"/>
        <v>40.1</v>
      </c>
      <c r="H130" s="5">
        <f t="shared" si="2"/>
        <v>8.02</v>
      </c>
      <c r="I130" s="6" t="s">
        <v>26</v>
      </c>
      <c r="J130" s="6" t="s">
        <v>27</v>
      </c>
      <c r="K130" s="5" t="s">
        <v>33</v>
      </c>
    </row>
    <row r="131" ht="15.75" customHeight="1">
      <c r="A131" s="3" t="s">
        <v>42</v>
      </c>
      <c r="B131" s="4">
        <v>1130.0</v>
      </c>
      <c r="C131" s="5">
        <v>4421.0</v>
      </c>
      <c r="D131" s="5" t="s">
        <v>29</v>
      </c>
      <c r="E131" s="5">
        <v>45.0</v>
      </c>
      <c r="F131" s="5">
        <v>87.0</v>
      </c>
      <c r="G131" s="5">
        <f t="shared" si="1"/>
        <v>42</v>
      </c>
      <c r="H131" s="5">
        <f t="shared" si="2"/>
        <v>8.4</v>
      </c>
      <c r="I131" s="6" t="s">
        <v>26</v>
      </c>
      <c r="J131" s="6" t="s">
        <v>27</v>
      </c>
      <c r="K131" s="5" t="s">
        <v>19</v>
      </c>
    </row>
    <row r="132" ht="15.75" customHeight="1">
      <c r="A132" s="3" t="s">
        <v>42</v>
      </c>
      <c r="B132" s="4">
        <v>1131.0</v>
      </c>
      <c r="C132" s="5">
        <v>9212.0</v>
      </c>
      <c r="D132" s="5" t="s">
        <v>30</v>
      </c>
      <c r="E132" s="5">
        <v>4.0</v>
      </c>
      <c r="F132" s="5">
        <v>7.0</v>
      </c>
      <c r="G132" s="5">
        <f t="shared" si="1"/>
        <v>3</v>
      </c>
      <c r="H132" s="5">
        <f t="shared" si="2"/>
        <v>0.7</v>
      </c>
      <c r="I132" s="6" t="s">
        <v>26</v>
      </c>
      <c r="J132" s="6" t="s">
        <v>27</v>
      </c>
      <c r="K132" s="5" t="s">
        <v>23</v>
      </c>
    </row>
    <row r="133" ht="15.75" customHeight="1">
      <c r="A133" s="3" t="s">
        <v>42</v>
      </c>
      <c r="B133" s="4">
        <v>1132.0</v>
      </c>
      <c r="C133" s="5">
        <v>9212.0</v>
      </c>
      <c r="D133" s="5" t="s">
        <v>30</v>
      </c>
      <c r="E133" s="5">
        <v>4.0</v>
      </c>
      <c r="F133" s="5">
        <v>7.0</v>
      </c>
      <c r="G133" s="5">
        <f t="shared" si="1"/>
        <v>3</v>
      </c>
      <c r="H133" s="5">
        <f t="shared" si="2"/>
        <v>0.7</v>
      </c>
      <c r="I133" s="6" t="s">
        <v>26</v>
      </c>
      <c r="J133" s="6" t="s">
        <v>27</v>
      </c>
      <c r="K133" s="5" t="s">
        <v>19</v>
      </c>
    </row>
    <row r="134" ht="15.75" customHeight="1">
      <c r="A134" s="3" t="s">
        <v>42</v>
      </c>
      <c r="B134" s="4">
        <v>1133.0</v>
      </c>
      <c r="C134" s="5">
        <v>9822.0</v>
      </c>
      <c r="D134" s="5" t="s">
        <v>12</v>
      </c>
      <c r="E134" s="5">
        <v>58.3</v>
      </c>
      <c r="F134" s="5">
        <v>98.4</v>
      </c>
      <c r="G134" s="5">
        <f t="shared" si="1"/>
        <v>40.1</v>
      </c>
      <c r="H134" s="5">
        <f t="shared" si="2"/>
        <v>8.02</v>
      </c>
      <c r="I134" s="6" t="s">
        <v>13</v>
      </c>
      <c r="J134" s="6" t="s">
        <v>14</v>
      </c>
      <c r="K134" s="5" t="s">
        <v>23</v>
      </c>
    </row>
    <row r="135" ht="15.75" customHeight="1">
      <c r="A135" s="3" t="s">
        <v>42</v>
      </c>
      <c r="B135" s="4">
        <v>1134.0</v>
      </c>
      <c r="C135" s="5">
        <v>9822.0</v>
      </c>
      <c r="D135" s="5" t="s">
        <v>12</v>
      </c>
      <c r="E135" s="5">
        <v>58.3</v>
      </c>
      <c r="F135" s="5">
        <v>98.4</v>
      </c>
      <c r="G135" s="5">
        <f t="shared" si="1"/>
        <v>40.1</v>
      </c>
      <c r="H135" s="5">
        <f t="shared" si="2"/>
        <v>8.02</v>
      </c>
      <c r="I135" s="6" t="s">
        <v>21</v>
      </c>
      <c r="J135" s="6" t="s">
        <v>22</v>
      </c>
      <c r="K135" s="5" t="s">
        <v>23</v>
      </c>
    </row>
    <row r="136" ht="15.75" customHeight="1">
      <c r="A136" s="3" t="s">
        <v>42</v>
      </c>
      <c r="B136" s="4">
        <v>1135.0</v>
      </c>
      <c r="C136" s="5">
        <v>8722.0</v>
      </c>
      <c r="D136" s="5" t="s">
        <v>24</v>
      </c>
      <c r="E136" s="5">
        <v>344.0</v>
      </c>
      <c r="F136" s="5">
        <v>502.0</v>
      </c>
      <c r="G136" s="5">
        <f t="shared" si="1"/>
        <v>158</v>
      </c>
      <c r="H136" s="5">
        <f t="shared" si="2"/>
        <v>31.6</v>
      </c>
      <c r="I136" s="6" t="s">
        <v>13</v>
      </c>
      <c r="J136" s="6" t="s">
        <v>14</v>
      </c>
      <c r="K136" s="5" t="s">
        <v>33</v>
      </c>
    </row>
    <row r="137" ht="15.75" customHeight="1">
      <c r="A137" s="3" t="s">
        <v>42</v>
      </c>
      <c r="B137" s="4">
        <v>1136.0</v>
      </c>
      <c r="C137" s="5">
        <v>2242.0</v>
      </c>
      <c r="D137" s="5" t="s">
        <v>32</v>
      </c>
      <c r="E137" s="5">
        <v>60.0</v>
      </c>
      <c r="F137" s="5">
        <v>124.0</v>
      </c>
      <c r="G137" s="5">
        <f t="shared" si="1"/>
        <v>64</v>
      </c>
      <c r="H137" s="5">
        <f t="shared" si="2"/>
        <v>12.8</v>
      </c>
      <c r="I137" s="6" t="s">
        <v>21</v>
      </c>
      <c r="J137" s="6" t="s">
        <v>22</v>
      </c>
      <c r="K137" s="5" t="s">
        <v>15</v>
      </c>
    </row>
    <row r="138" ht="15.75" customHeight="1">
      <c r="A138" s="3" t="s">
        <v>42</v>
      </c>
      <c r="B138" s="4">
        <v>1137.0</v>
      </c>
      <c r="C138" s="5">
        <v>9822.0</v>
      </c>
      <c r="D138" s="5" t="s">
        <v>12</v>
      </c>
      <c r="E138" s="5">
        <v>58.3</v>
      </c>
      <c r="F138" s="5">
        <v>98.4</v>
      </c>
      <c r="G138" s="5">
        <f t="shared" si="1"/>
        <v>40.1</v>
      </c>
      <c r="H138" s="5">
        <f t="shared" si="2"/>
        <v>8.02</v>
      </c>
      <c r="I138" s="6" t="s">
        <v>17</v>
      </c>
      <c r="J138" s="6" t="s">
        <v>18</v>
      </c>
      <c r="K138" s="5" t="s">
        <v>19</v>
      </c>
    </row>
    <row r="139" ht="15.75" customHeight="1">
      <c r="A139" s="3" t="s">
        <v>42</v>
      </c>
      <c r="B139" s="4">
        <v>1138.0</v>
      </c>
      <c r="C139" s="5">
        <v>8722.0</v>
      </c>
      <c r="D139" s="5" t="s">
        <v>24</v>
      </c>
      <c r="E139" s="5">
        <v>344.0</v>
      </c>
      <c r="F139" s="5">
        <v>502.0</v>
      </c>
      <c r="G139" s="5">
        <f t="shared" si="1"/>
        <v>158</v>
      </c>
      <c r="H139" s="5">
        <f t="shared" si="2"/>
        <v>31.6</v>
      </c>
      <c r="I139" s="6" t="s">
        <v>13</v>
      </c>
      <c r="J139" s="6" t="s">
        <v>14</v>
      </c>
      <c r="K139" s="5" t="s">
        <v>34</v>
      </c>
    </row>
    <row r="140" ht="15.75" customHeight="1">
      <c r="A140" s="3" t="s">
        <v>42</v>
      </c>
      <c r="B140" s="4">
        <v>1139.0</v>
      </c>
      <c r="C140" s="5">
        <v>4421.0</v>
      </c>
      <c r="D140" s="5" t="s">
        <v>29</v>
      </c>
      <c r="E140" s="5">
        <v>45.0</v>
      </c>
      <c r="F140" s="5">
        <v>87.0</v>
      </c>
      <c r="G140" s="5">
        <f t="shared" si="1"/>
        <v>42</v>
      </c>
      <c r="H140" s="5">
        <f t="shared" si="2"/>
        <v>8.4</v>
      </c>
      <c r="I140" s="6" t="s">
        <v>21</v>
      </c>
      <c r="J140" s="6" t="s">
        <v>22</v>
      </c>
      <c r="K140" s="5" t="s">
        <v>19</v>
      </c>
    </row>
    <row r="141" ht="15.75" customHeight="1">
      <c r="A141" s="3" t="s">
        <v>42</v>
      </c>
      <c r="B141" s="4">
        <v>1140.0</v>
      </c>
      <c r="C141" s="5">
        <v>4421.0</v>
      </c>
      <c r="D141" s="5" t="s">
        <v>29</v>
      </c>
      <c r="E141" s="5">
        <v>45.0</v>
      </c>
      <c r="F141" s="5">
        <v>87.0</v>
      </c>
      <c r="G141" s="5">
        <f t="shared" si="1"/>
        <v>42</v>
      </c>
      <c r="H141" s="5">
        <f t="shared" si="2"/>
        <v>8.4</v>
      </c>
      <c r="I141" s="6" t="s">
        <v>17</v>
      </c>
      <c r="J141" s="6" t="s">
        <v>18</v>
      </c>
      <c r="K141" s="5" t="s">
        <v>33</v>
      </c>
    </row>
    <row r="142" ht="15.75" customHeight="1">
      <c r="A142" s="3" t="s">
        <v>42</v>
      </c>
      <c r="B142" s="4">
        <v>1141.0</v>
      </c>
      <c r="C142" s="5">
        <v>9212.0</v>
      </c>
      <c r="D142" s="5" t="s">
        <v>30</v>
      </c>
      <c r="E142" s="5">
        <v>4.0</v>
      </c>
      <c r="F142" s="5">
        <v>7.0</v>
      </c>
      <c r="G142" s="5">
        <f t="shared" si="1"/>
        <v>3</v>
      </c>
      <c r="H142" s="5">
        <f t="shared" si="2"/>
        <v>0.7</v>
      </c>
      <c r="I142" s="6" t="s">
        <v>17</v>
      </c>
      <c r="J142" s="6" t="s">
        <v>18</v>
      </c>
      <c r="K142" s="5" t="s">
        <v>23</v>
      </c>
    </row>
    <row r="143" ht="15.75" customHeight="1">
      <c r="A143" s="3" t="s">
        <v>43</v>
      </c>
      <c r="B143" s="4">
        <v>1142.0</v>
      </c>
      <c r="C143" s="5">
        <v>2242.0</v>
      </c>
      <c r="D143" s="5" t="s">
        <v>32</v>
      </c>
      <c r="E143" s="5">
        <v>60.0</v>
      </c>
      <c r="F143" s="5">
        <v>124.0</v>
      </c>
      <c r="G143" s="5">
        <f t="shared" si="1"/>
        <v>64</v>
      </c>
      <c r="H143" s="5">
        <f t="shared" si="2"/>
        <v>12.8</v>
      </c>
      <c r="I143" s="6" t="s">
        <v>17</v>
      </c>
      <c r="J143" s="6" t="s">
        <v>18</v>
      </c>
      <c r="K143" s="5" t="s">
        <v>33</v>
      </c>
    </row>
    <row r="144" ht="15.75" customHeight="1">
      <c r="A144" s="3" t="s">
        <v>43</v>
      </c>
      <c r="B144" s="4">
        <v>1143.0</v>
      </c>
      <c r="C144" s="5">
        <v>9822.0</v>
      </c>
      <c r="D144" s="5" t="s">
        <v>12</v>
      </c>
      <c r="E144" s="5">
        <v>58.3</v>
      </c>
      <c r="F144" s="5">
        <v>98.4</v>
      </c>
      <c r="G144" s="5">
        <f t="shared" si="1"/>
        <v>40.1</v>
      </c>
      <c r="H144" s="5">
        <f t="shared" si="2"/>
        <v>8.02</v>
      </c>
      <c r="I144" s="6" t="s">
        <v>26</v>
      </c>
      <c r="J144" s="6" t="s">
        <v>27</v>
      </c>
      <c r="K144" s="5" t="s">
        <v>23</v>
      </c>
    </row>
    <row r="145" ht="15.75" customHeight="1">
      <c r="A145" s="3" t="s">
        <v>43</v>
      </c>
      <c r="B145" s="4">
        <v>1144.0</v>
      </c>
      <c r="C145" s="5">
        <v>2242.0</v>
      </c>
      <c r="D145" s="5" t="s">
        <v>32</v>
      </c>
      <c r="E145" s="5">
        <v>60.0</v>
      </c>
      <c r="F145" s="5">
        <v>124.0</v>
      </c>
      <c r="G145" s="5">
        <f t="shared" si="1"/>
        <v>64</v>
      </c>
      <c r="H145" s="5">
        <f t="shared" si="2"/>
        <v>12.8</v>
      </c>
      <c r="I145" s="6" t="s">
        <v>26</v>
      </c>
      <c r="J145" s="6" t="s">
        <v>27</v>
      </c>
      <c r="K145" s="5" t="s">
        <v>19</v>
      </c>
    </row>
    <row r="146" ht="15.75" customHeight="1">
      <c r="A146" s="3" t="s">
        <v>43</v>
      </c>
      <c r="B146" s="4">
        <v>1145.0</v>
      </c>
      <c r="C146" s="5">
        <v>4421.0</v>
      </c>
      <c r="D146" s="5" t="s">
        <v>29</v>
      </c>
      <c r="E146" s="5">
        <v>45.0</v>
      </c>
      <c r="F146" s="5">
        <v>87.0</v>
      </c>
      <c r="G146" s="5">
        <f t="shared" si="1"/>
        <v>42</v>
      </c>
      <c r="H146" s="5">
        <f t="shared" si="2"/>
        <v>8.4</v>
      </c>
      <c r="I146" s="6" t="s">
        <v>26</v>
      </c>
      <c r="J146" s="6" t="s">
        <v>27</v>
      </c>
      <c r="K146" s="5" t="s">
        <v>15</v>
      </c>
    </row>
    <row r="147" ht="15.75" customHeight="1">
      <c r="A147" s="3" t="s">
        <v>43</v>
      </c>
      <c r="B147" s="4">
        <v>1146.0</v>
      </c>
      <c r="C147" s="5">
        <v>8722.0</v>
      </c>
      <c r="D147" s="5" t="s">
        <v>24</v>
      </c>
      <c r="E147" s="5">
        <v>344.0</v>
      </c>
      <c r="F147" s="5">
        <v>502.0</v>
      </c>
      <c r="G147" s="5">
        <f t="shared" si="1"/>
        <v>158</v>
      </c>
      <c r="H147" s="5">
        <f t="shared" si="2"/>
        <v>31.6</v>
      </c>
      <c r="I147" s="6" t="s">
        <v>26</v>
      </c>
      <c r="J147" s="6" t="s">
        <v>27</v>
      </c>
      <c r="K147" s="5" t="s">
        <v>33</v>
      </c>
    </row>
    <row r="148" ht="15.75" customHeight="1">
      <c r="A148" s="3" t="s">
        <v>43</v>
      </c>
      <c r="B148" s="4">
        <v>1147.0</v>
      </c>
      <c r="C148" s="5">
        <v>9822.0</v>
      </c>
      <c r="D148" s="5" t="s">
        <v>12</v>
      </c>
      <c r="E148" s="5">
        <v>58.3</v>
      </c>
      <c r="F148" s="5">
        <v>98.4</v>
      </c>
      <c r="G148" s="5">
        <f t="shared" si="1"/>
        <v>40.1</v>
      </c>
      <c r="H148" s="5">
        <f t="shared" si="2"/>
        <v>8.02</v>
      </c>
      <c r="I148" s="6" t="s">
        <v>13</v>
      </c>
      <c r="J148" s="6" t="s">
        <v>14</v>
      </c>
      <c r="K148" s="5" t="s">
        <v>19</v>
      </c>
    </row>
    <row r="149" ht="15.75" customHeight="1">
      <c r="A149" s="3" t="s">
        <v>43</v>
      </c>
      <c r="B149" s="4">
        <v>1148.0</v>
      </c>
      <c r="C149" s="5">
        <v>9212.0</v>
      </c>
      <c r="D149" s="5" t="s">
        <v>30</v>
      </c>
      <c r="E149" s="5">
        <v>4.0</v>
      </c>
      <c r="F149" s="5">
        <v>7.0</v>
      </c>
      <c r="G149" s="5">
        <f t="shared" si="1"/>
        <v>3</v>
      </c>
      <c r="H149" s="5">
        <f t="shared" si="2"/>
        <v>0.7</v>
      </c>
      <c r="I149" s="6" t="s">
        <v>21</v>
      </c>
      <c r="J149" s="6" t="s">
        <v>22</v>
      </c>
      <c r="K149" s="5" t="s">
        <v>23</v>
      </c>
    </row>
    <row r="150" ht="15.75" customHeight="1">
      <c r="A150" s="3" t="s">
        <v>43</v>
      </c>
      <c r="B150" s="4">
        <v>1149.0</v>
      </c>
      <c r="C150" s="5">
        <v>8722.0</v>
      </c>
      <c r="D150" s="5" t="s">
        <v>24</v>
      </c>
      <c r="E150" s="5">
        <v>344.0</v>
      </c>
      <c r="F150" s="5">
        <v>502.0</v>
      </c>
      <c r="G150" s="5">
        <f t="shared" si="1"/>
        <v>158</v>
      </c>
      <c r="H150" s="5">
        <f t="shared" si="2"/>
        <v>31.6</v>
      </c>
      <c r="I150" s="6" t="s">
        <v>13</v>
      </c>
      <c r="J150" s="6" t="s">
        <v>14</v>
      </c>
      <c r="K150" s="5" t="s">
        <v>23</v>
      </c>
    </row>
    <row r="151" ht="15.75" customHeight="1">
      <c r="A151" s="3" t="s">
        <v>44</v>
      </c>
      <c r="B151" s="4">
        <v>1150.0</v>
      </c>
      <c r="C151" s="5">
        <v>2242.0</v>
      </c>
      <c r="D151" s="5" t="s">
        <v>32</v>
      </c>
      <c r="E151" s="5">
        <v>60.0</v>
      </c>
      <c r="F151" s="5">
        <v>124.0</v>
      </c>
      <c r="G151" s="5">
        <f t="shared" si="1"/>
        <v>64</v>
      </c>
      <c r="H151" s="5">
        <f t="shared" si="2"/>
        <v>12.8</v>
      </c>
      <c r="I151" s="6" t="s">
        <v>21</v>
      </c>
      <c r="J151" s="6" t="s">
        <v>22</v>
      </c>
      <c r="K151" s="5" t="s">
        <v>34</v>
      </c>
    </row>
    <row r="152" ht="15.75" customHeight="1">
      <c r="A152" s="3" t="s">
        <v>44</v>
      </c>
      <c r="B152" s="4">
        <v>1151.0</v>
      </c>
      <c r="C152" s="5">
        <v>2242.0</v>
      </c>
      <c r="D152" s="5" t="s">
        <v>32</v>
      </c>
      <c r="E152" s="5">
        <v>60.0</v>
      </c>
      <c r="F152" s="5">
        <v>124.0</v>
      </c>
      <c r="G152" s="5">
        <f t="shared" si="1"/>
        <v>64</v>
      </c>
      <c r="H152" s="5">
        <f t="shared" si="2"/>
        <v>12.8</v>
      </c>
      <c r="I152" s="6" t="s">
        <v>17</v>
      </c>
      <c r="J152" s="6" t="s">
        <v>18</v>
      </c>
      <c r="K152" s="5" t="s">
        <v>19</v>
      </c>
    </row>
    <row r="153" ht="15.75" customHeight="1">
      <c r="A153" s="3" t="s">
        <v>44</v>
      </c>
      <c r="B153" s="4">
        <v>1152.0</v>
      </c>
      <c r="C153" s="5">
        <v>4421.0</v>
      </c>
      <c r="D153" s="5" t="s">
        <v>29</v>
      </c>
      <c r="E153" s="5">
        <v>45.0</v>
      </c>
      <c r="F153" s="5">
        <v>87.0</v>
      </c>
      <c r="G153" s="5">
        <f t="shared" si="1"/>
        <v>42</v>
      </c>
      <c r="H153" s="5">
        <f t="shared" si="2"/>
        <v>8.4</v>
      </c>
      <c r="I153" s="6" t="s">
        <v>13</v>
      </c>
      <c r="J153" s="6" t="s">
        <v>14</v>
      </c>
      <c r="K153" s="5" t="s">
        <v>33</v>
      </c>
    </row>
    <row r="154" ht="15.75" customHeight="1">
      <c r="A154" s="3" t="s">
        <v>44</v>
      </c>
      <c r="B154" s="4">
        <v>1153.0</v>
      </c>
      <c r="C154" s="5">
        <v>8722.0</v>
      </c>
      <c r="D154" s="5" t="s">
        <v>24</v>
      </c>
      <c r="E154" s="5">
        <v>344.0</v>
      </c>
      <c r="F154" s="5">
        <v>502.0</v>
      </c>
      <c r="G154" s="5">
        <f t="shared" si="1"/>
        <v>158</v>
      </c>
      <c r="H154" s="5">
        <f t="shared" si="2"/>
        <v>31.6</v>
      </c>
      <c r="I154" s="6" t="s">
        <v>21</v>
      </c>
      <c r="J154" s="6" t="s">
        <v>22</v>
      </c>
      <c r="K154" s="5" t="s">
        <v>23</v>
      </c>
    </row>
    <row r="155" ht="15.75" customHeight="1">
      <c r="A155" s="3" t="s">
        <v>44</v>
      </c>
      <c r="B155" s="4">
        <v>1154.0</v>
      </c>
      <c r="C155" s="5">
        <v>9822.0</v>
      </c>
      <c r="D155" s="5" t="s">
        <v>12</v>
      </c>
      <c r="E155" s="5">
        <v>58.3</v>
      </c>
      <c r="F155" s="5">
        <v>98.4</v>
      </c>
      <c r="G155" s="5">
        <f t="shared" si="1"/>
        <v>40.1</v>
      </c>
      <c r="H155" s="5">
        <f t="shared" si="2"/>
        <v>8.02</v>
      </c>
      <c r="I155" s="6" t="s">
        <v>17</v>
      </c>
      <c r="J155" s="6" t="s">
        <v>18</v>
      </c>
      <c r="K155" s="5" t="s">
        <v>33</v>
      </c>
    </row>
    <row r="156" ht="15.75" customHeight="1">
      <c r="A156" s="3" t="s">
        <v>44</v>
      </c>
      <c r="B156" s="4">
        <v>1155.0</v>
      </c>
      <c r="C156" s="5">
        <v>4421.0</v>
      </c>
      <c r="D156" s="5" t="s">
        <v>29</v>
      </c>
      <c r="E156" s="5">
        <v>45.0</v>
      </c>
      <c r="F156" s="5">
        <v>87.0</v>
      </c>
      <c r="G156" s="5">
        <f t="shared" si="1"/>
        <v>42</v>
      </c>
      <c r="H156" s="5">
        <f t="shared" si="2"/>
        <v>8.4</v>
      </c>
      <c r="I156" s="6" t="s">
        <v>21</v>
      </c>
      <c r="J156" s="6" t="s">
        <v>22</v>
      </c>
      <c r="K156" s="5" t="s">
        <v>23</v>
      </c>
    </row>
    <row r="157" ht="15.75" customHeight="1">
      <c r="A157" s="3" t="s">
        <v>44</v>
      </c>
      <c r="B157" s="4">
        <v>1156.0</v>
      </c>
      <c r="C157" s="5">
        <v>2242.0</v>
      </c>
      <c r="D157" s="5" t="s">
        <v>32</v>
      </c>
      <c r="E157" s="5">
        <v>60.0</v>
      </c>
      <c r="F157" s="5">
        <v>124.0</v>
      </c>
      <c r="G157" s="5">
        <f t="shared" si="1"/>
        <v>64</v>
      </c>
      <c r="H157" s="5">
        <f t="shared" si="2"/>
        <v>12.8</v>
      </c>
      <c r="I157" s="6" t="s">
        <v>21</v>
      </c>
      <c r="J157" s="6" t="s">
        <v>22</v>
      </c>
      <c r="K157" s="5" t="s">
        <v>19</v>
      </c>
    </row>
    <row r="158" ht="15.75" customHeight="1">
      <c r="A158" s="3" t="s">
        <v>44</v>
      </c>
      <c r="B158" s="4">
        <v>1157.0</v>
      </c>
      <c r="C158" s="5">
        <v>9212.0</v>
      </c>
      <c r="D158" s="5" t="s">
        <v>30</v>
      </c>
      <c r="E158" s="5">
        <v>4.0</v>
      </c>
      <c r="F158" s="5">
        <v>7.0</v>
      </c>
      <c r="G158" s="5">
        <f t="shared" si="1"/>
        <v>3</v>
      </c>
      <c r="H158" s="5">
        <f t="shared" si="2"/>
        <v>0.7</v>
      </c>
      <c r="I158" s="6" t="s">
        <v>21</v>
      </c>
      <c r="J158" s="6" t="s">
        <v>22</v>
      </c>
      <c r="K158" s="5" t="s">
        <v>15</v>
      </c>
    </row>
    <row r="159" ht="15.75" customHeight="1">
      <c r="A159" s="3" t="s">
        <v>45</v>
      </c>
      <c r="B159" s="4">
        <v>1158.0</v>
      </c>
      <c r="C159" s="5">
        <v>8722.0</v>
      </c>
      <c r="D159" s="5" t="s">
        <v>24</v>
      </c>
      <c r="E159" s="5">
        <v>344.0</v>
      </c>
      <c r="F159" s="5">
        <v>502.0</v>
      </c>
      <c r="G159" s="5">
        <f t="shared" si="1"/>
        <v>158</v>
      </c>
      <c r="H159" s="5">
        <f t="shared" si="2"/>
        <v>31.6</v>
      </c>
      <c r="I159" s="6" t="s">
        <v>13</v>
      </c>
      <c r="J159" s="6" t="s">
        <v>14</v>
      </c>
      <c r="K159" s="5" t="s">
        <v>33</v>
      </c>
    </row>
    <row r="160" ht="15.75" customHeight="1">
      <c r="A160" s="3" t="s">
        <v>45</v>
      </c>
      <c r="B160" s="4">
        <v>1159.0</v>
      </c>
      <c r="C160" s="5">
        <v>6622.0</v>
      </c>
      <c r="D160" s="5" t="s">
        <v>37</v>
      </c>
      <c r="E160" s="5">
        <v>42.0</v>
      </c>
      <c r="F160" s="5">
        <v>77.0</v>
      </c>
      <c r="G160" s="5">
        <f t="shared" si="1"/>
        <v>35</v>
      </c>
      <c r="H160" s="5">
        <f t="shared" si="2"/>
        <v>7</v>
      </c>
      <c r="I160" s="6" t="s">
        <v>21</v>
      </c>
      <c r="J160" s="6" t="s">
        <v>22</v>
      </c>
      <c r="K160" s="5" t="s">
        <v>19</v>
      </c>
    </row>
    <row r="161" ht="15.75" customHeight="1">
      <c r="A161" s="3" t="s">
        <v>45</v>
      </c>
      <c r="B161" s="4">
        <v>1160.0</v>
      </c>
      <c r="C161" s="5">
        <v>9822.0</v>
      </c>
      <c r="D161" s="5" t="s">
        <v>12</v>
      </c>
      <c r="E161" s="5">
        <v>58.3</v>
      </c>
      <c r="F161" s="5">
        <v>98.4</v>
      </c>
      <c r="G161" s="5">
        <f t="shared" si="1"/>
        <v>40.1</v>
      </c>
      <c r="H161" s="5">
        <f t="shared" si="2"/>
        <v>8.02</v>
      </c>
      <c r="I161" s="6" t="s">
        <v>26</v>
      </c>
      <c r="J161" s="6" t="s">
        <v>27</v>
      </c>
      <c r="K161" s="5" t="s">
        <v>33</v>
      </c>
    </row>
    <row r="162" ht="15.75" customHeight="1">
      <c r="A162" s="3" t="s">
        <v>45</v>
      </c>
      <c r="B162" s="4">
        <v>1161.0</v>
      </c>
      <c r="C162" s="5">
        <v>4421.0</v>
      </c>
      <c r="D162" s="5" t="s">
        <v>29</v>
      </c>
      <c r="E162" s="5">
        <v>45.0</v>
      </c>
      <c r="F162" s="5">
        <v>87.0</v>
      </c>
      <c r="G162" s="5">
        <f t="shared" si="1"/>
        <v>42</v>
      </c>
      <c r="H162" s="5">
        <f t="shared" si="2"/>
        <v>8.4</v>
      </c>
      <c r="I162" s="6" t="s">
        <v>17</v>
      </c>
      <c r="J162" s="6" t="s">
        <v>18</v>
      </c>
      <c r="K162" s="5" t="s">
        <v>19</v>
      </c>
    </row>
    <row r="163" ht="15.75" customHeight="1">
      <c r="A163" s="3" t="s">
        <v>45</v>
      </c>
      <c r="B163" s="4">
        <v>1162.0</v>
      </c>
      <c r="C163" s="5">
        <v>9212.0</v>
      </c>
      <c r="D163" s="5" t="s">
        <v>30</v>
      </c>
      <c r="E163" s="5">
        <v>4.0</v>
      </c>
      <c r="F163" s="5">
        <v>7.0</v>
      </c>
      <c r="G163" s="5">
        <f t="shared" si="1"/>
        <v>3</v>
      </c>
      <c r="H163" s="5">
        <f t="shared" si="2"/>
        <v>0.7</v>
      </c>
      <c r="I163" s="6" t="s">
        <v>13</v>
      </c>
      <c r="J163" s="6" t="s">
        <v>14</v>
      </c>
      <c r="K163" s="5" t="s">
        <v>23</v>
      </c>
    </row>
    <row r="164" ht="15.75" customHeight="1">
      <c r="A164" s="3" t="s">
        <v>45</v>
      </c>
      <c r="B164" s="4">
        <v>1163.0</v>
      </c>
      <c r="C164" s="5">
        <v>9212.0</v>
      </c>
      <c r="D164" s="5" t="s">
        <v>30</v>
      </c>
      <c r="E164" s="5">
        <v>4.0</v>
      </c>
      <c r="F164" s="5">
        <v>7.0</v>
      </c>
      <c r="G164" s="5">
        <f t="shared" si="1"/>
        <v>3</v>
      </c>
      <c r="H164" s="5">
        <f t="shared" si="2"/>
        <v>0.7</v>
      </c>
      <c r="I164" s="6" t="s">
        <v>21</v>
      </c>
      <c r="J164" s="6" t="s">
        <v>22</v>
      </c>
      <c r="K164" s="5" t="s">
        <v>19</v>
      </c>
    </row>
    <row r="165" ht="15.75" customHeight="1">
      <c r="A165" s="3" t="s">
        <v>45</v>
      </c>
      <c r="B165" s="4">
        <v>1164.0</v>
      </c>
      <c r="C165" s="5">
        <v>9822.0</v>
      </c>
      <c r="D165" s="5" t="s">
        <v>12</v>
      </c>
      <c r="E165" s="5">
        <v>58.3</v>
      </c>
      <c r="F165" s="5">
        <v>98.4</v>
      </c>
      <c r="G165" s="5">
        <f t="shared" si="1"/>
        <v>40.1</v>
      </c>
      <c r="H165" s="5">
        <f t="shared" si="2"/>
        <v>8.02</v>
      </c>
      <c r="I165" s="6" t="s">
        <v>21</v>
      </c>
      <c r="J165" s="6" t="s">
        <v>22</v>
      </c>
      <c r="K165" s="5" t="s">
        <v>23</v>
      </c>
    </row>
    <row r="166" ht="15.75" customHeight="1">
      <c r="A166" s="3" t="s">
        <v>45</v>
      </c>
      <c r="B166" s="4">
        <v>1165.0</v>
      </c>
      <c r="C166" s="5">
        <v>9822.0</v>
      </c>
      <c r="D166" s="5" t="s">
        <v>12</v>
      </c>
      <c r="E166" s="5">
        <v>58.3</v>
      </c>
      <c r="F166" s="5">
        <v>98.4</v>
      </c>
      <c r="G166" s="5">
        <f t="shared" si="1"/>
        <v>40.1</v>
      </c>
      <c r="H166" s="5">
        <f t="shared" si="2"/>
        <v>8.02</v>
      </c>
      <c r="I166" s="6" t="s">
        <v>21</v>
      </c>
      <c r="J166" s="6" t="s">
        <v>22</v>
      </c>
      <c r="K166" s="5" t="s">
        <v>23</v>
      </c>
    </row>
    <row r="167" ht="15.75" customHeight="1">
      <c r="A167" s="3" t="s">
        <v>45</v>
      </c>
      <c r="B167" s="4">
        <v>1166.0</v>
      </c>
      <c r="C167" s="5">
        <v>8722.0</v>
      </c>
      <c r="D167" s="5" t="s">
        <v>24</v>
      </c>
      <c r="E167" s="5">
        <v>344.0</v>
      </c>
      <c r="F167" s="5">
        <v>502.0</v>
      </c>
      <c r="G167" s="5">
        <f t="shared" si="1"/>
        <v>158</v>
      </c>
      <c r="H167" s="5">
        <f t="shared" si="2"/>
        <v>31.6</v>
      </c>
      <c r="I167" s="6" t="s">
        <v>21</v>
      </c>
      <c r="J167" s="6" t="s">
        <v>22</v>
      </c>
      <c r="K167" s="5" t="s">
        <v>33</v>
      </c>
    </row>
    <row r="168" ht="15.75" customHeight="1">
      <c r="A168" s="3" t="s">
        <v>46</v>
      </c>
      <c r="B168" s="4">
        <v>1167.0</v>
      </c>
      <c r="C168" s="5">
        <v>2242.0</v>
      </c>
      <c r="D168" s="5" t="s">
        <v>32</v>
      </c>
      <c r="E168" s="5">
        <v>60.0</v>
      </c>
      <c r="F168" s="5">
        <v>124.0</v>
      </c>
      <c r="G168" s="5">
        <f t="shared" si="1"/>
        <v>64</v>
      </c>
      <c r="H168" s="5">
        <f t="shared" si="2"/>
        <v>12.8</v>
      </c>
      <c r="I168" s="6" t="s">
        <v>21</v>
      </c>
      <c r="J168" s="6" t="s">
        <v>22</v>
      </c>
      <c r="K168" s="5" t="s">
        <v>15</v>
      </c>
    </row>
    <row r="169" ht="15.75" customHeight="1">
      <c r="A169" s="3" t="s">
        <v>46</v>
      </c>
      <c r="B169" s="4">
        <v>1168.0</v>
      </c>
      <c r="C169" s="5">
        <v>9822.0</v>
      </c>
      <c r="D169" s="5" t="s">
        <v>12</v>
      </c>
      <c r="E169" s="5">
        <v>58.3</v>
      </c>
      <c r="F169" s="5">
        <v>98.4</v>
      </c>
      <c r="G169" s="5">
        <f t="shared" si="1"/>
        <v>40.1</v>
      </c>
      <c r="H169" s="5">
        <f t="shared" si="2"/>
        <v>8.02</v>
      </c>
      <c r="I169" s="6" t="s">
        <v>21</v>
      </c>
      <c r="J169" s="6" t="s">
        <v>22</v>
      </c>
      <c r="K169" s="5" t="s">
        <v>19</v>
      </c>
    </row>
    <row r="170" ht="15.75" customHeight="1">
      <c r="A170" s="3" t="s">
        <v>46</v>
      </c>
      <c r="B170" s="4">
        <v>1169.0</v>
      </c>
      <c r="C170" s="5">
        <v>8722.0</v>
      </c>
      <c r="D170" s="5" t="s">
        <v>24</v>
      </c>
      <c r="E170" s="5">
        <v>344.0</v>
      </c>
      <c r="F170" s="5">
        <v>502.0</v>
      </c>
      <c r="G170" s="5">
        <f t="shared" si="1"/>
        <v>158</v>
      </c>
      <c r="H170" s="5">
        <f t="shared" si="2"/>
        <v>31.6</v>
      </c>
      <c r="I170" s="6" t="s">
        <v>21</v>
      </c>
      <c r="J170" s="6" t="s">
        <v>22</v>
      </c>
      <c r="K170" s="5" t="s">
        <v>34</v>
      </c>
    </row>
    <row r="171" ht="15.75" customHeight="1">
      <c r="A171" s="3" t="s">
        <v>46</v>
      </c>
      <c r="B171" s="4">
        <v>1170.0</v>
      </c>
      <c r="C171" s="5">
        <v>4421.0</v>
      </c>
      <c r="D171" s="5" t="s">
        <v>29</v>
      </c>
      <c r="E171" s="5">
        <v>45.0</v>
      </c>
      <c r="F171" s="5">
        <v>87.0</v>
      </c>
      <c r="G171" s="5">
        <f t="shared" si="1"/>
        <v>42</v>
      </c>
      <c r="H171" s="5">
        <f t="shared" si="2"/>
        <v>8.4</v>
      </c>
      <c r="I171" s="6" t="s">
        <v>13</v>
      </c>
      <c r="J171" s="6" t="s">
        <v>14</v>
      </c>
      <c r="K171" s="5" t="s">
        <v>19</v>
      </c>
    </row>
    <row r="172" ht="15.75" customHeight="1">
      <c r="A172" s="3" t="s">
        <v>46</v>
      </c>
      <c r="B172" s="4">
        <v>1171.0</v>
      </c>
      <c r="C172" s="5">
        <v>4421.0</v>
      </c>
      <c r="D172" s="5" t="s">
        <v>29</v>
      </c>
      <c r="E172" s="5">
        <v>45.0</v>
      </c>
      <c r="F172" s="5">
        <v>87.0</v>
      </c>
      <c r="G172" s="5">
        <f t="shared" si="1"/>
        <v>42</v>
      </c>
      <c r="H172" s="5">
        <f t="shared" si="2"/>
        <v>8.4</v>
      </c>
      <c r="I172" s="6" t="s">
        <v>17</v>
      </c>
      <c r="J172" s="6" t="s">
        <v>18</v>
      </c>
      <c r="K172" s="5" t="s">
        <v>33</v>
      </c>
    </row>
    <row r="173" ht="15.75" customHeight="1"/>
    <row r="174" ht="15.75" customHeight="1"/>
    <row r="175" ht="15.75" customHeight="1">
      <c r="A175" s="7" t="s">
        <v>47</v>
      </c>
      <c r="E175" s="5">
        <f t="shared" ref="E175:H175" si="3">SUM(E2:E172)</f>
        <v>10753.9</v>
      </c>
      <c r="F175" s="5">
        <f t="shared" si="3"/>
        <v>17110.6</v>
      </c>
      <c r="G175" s="5">
        <f t="shared" si="3"/>
        <v>6356.7</v>
      </c>
      <c r="H175" s="5">
        <f t="shared" si="3"/>
        <v>1296.44</v>
      </c>
    </row>
    <row r="176" ht="15.75" customHeight="1">
      <c r="A176" s="7" t="s">
        <v>48</v>
      </c>
      <c r="E176" s="5">
        <f t="shared" ref="E176:H176" si="4">SUMIF(E2:E172,"&gt;50")</f>
        <v>9064.3</v>
      </c>
      <c r="F176" s="5">
        <f t="shared" si="4"/>
        <v>16088.4</v>
      </c>
      <c r="G176" s="5">
        <f t="shared" si="4"/>
        <v>4184</v>
      </c>
      <c r="H176" s="5">
        <f t="shared" si="4"/>
        <v>0</v>
      </c>
    </row>
    <row r="177" ht="15.75" customHeight="1">
      <c r="A177" s="7" t="s">
        <v>49</v>
      </c>
      <c r="E177" s="5">
        <f t="shared" ref="E177:H177" si="5">SUMIF(E2:E172,"&lt;=50")</f>
        <v>1689.6</v>
      </c>
      <c r="F177" s="5">
        <f t="shared" si="5"/>
        <v>1022.2</v>
      </c>
      <c r="G177" s="5">
        <f t="shared" si="5"/>
        <v>2172.7</v>
      </c>
      <c r="H177" s="5">
        <f t="shared" si="5"/>
        <v>1296.44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</sheetData>
  <drawing r:id="rId2"/>
</worksheet>
</file>